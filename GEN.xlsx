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er\"/>
    </mc:Choice>
  </mc:AlternateContent>
  <xr:revisionPtr revIDLastSave="0" documentId="13_ncr:1_{629B5643-C427-4177-83B9-1AC9D755206A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APRIL-2026" sheetId="23" r:id="rId1"/>
    <sheet name="MARCH-2026" sheetId="22" r:id="rId2"/>
    <sheet name="FEBRUYARY-2026 " sheetId="21" r:id="rId3"/>
    <sheet name="JANUARY-2026" sheetId="20" r:id="rId4"/>
    <sheet name="DECEMBER-2025 " sheetId="19" r:id="rId5"/>
    <sheet name="NOVEMBER-2025" sheetId="18" r:id="rId6"/>
    <sheet name="OCTOBER-2025" sheetId="17" r:id="rId7"/>
    <sheet name="SEPTEMBER-2025" sheetId="16" r:id="rId8"/>
    <sheet name="AUGUST-2025" sheetId="15" r:id="rId9"/>
    <sheet name="JULY-2025" sheetId="14" r:id="rId10"/>
    <sheet name="JUNE-2025" sheetId="13" r:id="rId11"/>
    <sheet name="MAY-2025" sheetId="10" r:id="rId12"/>
    <sheet name="APR-2025" sheetId="8" r:id="rId13"/>
    <sheet name="MAR-2025" sheetId="7" r:id="rId14"/>
    <sheet name="FEB-2025" sheetId="6" r:id="rId15"/>
    <sheet name="JAN-2025" sheetId="5" r:id="rId16"/>
    <sheet name="DEC-2024" sheetId="4" r:id="rId17"/>
    <sheet name="NOV-2024" sheetId="1" r:id="rId18"/>
    <sheet name="Sheet2" sheetId="2" r:id="rId19"/>
    <sheet name="Sheet3" sheetId="3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3" i="23" l="1"/>
  <c r="L33" i="23"/>
  <c r="K33" i="23"/>
  <c r="J33" i="23"/>
  <c r="I33" i="23"/>
  <c r="H33" i="23"/>
  <c r="G33" i="23"/>
  <c r="F33" i="23"/>
  <c r="E33" i="23"/>
  <c r="D33" i="23"/>
  <c r="O32" i="23"/>
  <c r="P32" i="23" s="1"/>
  <c r="N32" i="23"/>
  <c r="O31" i="23"/>
  <c r="P31" i="23" s="1"/>
  <c r="N31" i="23"/>
  <c r="T30" i="23"/>
  <c r="S30" i="23"/>
  <c r="R30" i="23"/>
  <c r="Q30" i="23"/>
  <c r="O30" i="23"/>
  <c r="P30" i="23" s="1"/>
  <c r="N30" i="23"/>
  <c r="T29" i="23"/>
  <c r="S29" i="23"/>
  <c r="R29" i="23"/>
  <c r="Q29" i="23"/>
  <c r="O29" i="23"/>
  <c r="P29" i="23" s="1"/>
  <c r="N29" i="23"/>
  <c r="T28" i="23"/>
  <c r="S28" i="23"/>
  <c r="R28" i="23"/>
  <c r="Q28" i="23"/>
  <c r="O28" i="23"/>
  <c r="P28" i="23" s="1"/>
  <c r="N28" i="23"/>
  <c r="T27" i="23"/>
  <c r="S27" i="23"/>
  <c r="R27" i="23"/>
  <c r="Q27" i="23"/>
  <c r="O27" i="23"/>
  <c r="P27" i="23" s="1"/>
  <c r="N27" i="23"/>
  <c r="T26" i="23"/>
  <c r="S26" i="23"/>
  <c r="R26" i="23"/>
  <c r="Q26" i="23"/>
  <c r="O26" i="23"/>
  <c r="P26" i="23" s="1"/>
  <c r="N26" i="23"/>
  <c r="T25" i="23"/>
  <c r="S25" i="23"/>
  <c r="R25" i="23"/>
  <c r="Q25" i="23"/>
  <c r="O25" i="23"/>
  <c r="P25" i="23" s="1"/>
  <c r="N25" i="23"/>
  <c r="T24" i="23"/>
  <c r="S24" i="23"/>
  <c r="R24" i="23"/>
  <c r="Q24" i="23"/>
  <c r="O24" i="23"/>
  <c r="P24" i="23" s="1"/>
  <c r="N24" i="23"/>
  <c r="T23" i="23"/>
  <c r="S23" i="23"/>
  <c r="R23" i="23"/>
  <c r="Q23" i="23"/>
  <c r="O23" i="23"/>
  <c r="P23" i="23" s="1"/>
  <c r="N23" i="23"/>
  <c r="T22" i="23"/>
  <c r="S22" i="23"/>
  <c r="R22" i="23"/>
  <c r="Q22" i="23"/>
  <c r="O22" i="23"/>
  <c r="P22" i="23" s="1"/>
  <c r="N22" i="23"/>
  <c r="T21" i="23"/>
  <c r="S21" i="23"/>
  <c r="R21" i="23"/>
  <c r="Q21" i="23"/>
  <c r="O21" i="23"/>
  <c r="P21" i="23" s="1"/>
  <c r="N21" i="23"/>
  <c r="T20" i="23"/>
  <c r="S20" i="23"/>
  <c r="R20" i="23"/>
  <c r="Q20" i="23"/>
  <c r="O20" i="23"/>
  <c r="P20" i="23" s="1"/>
  <c r="N20" i="23"/>
  <c r="T19" i="23"/>
  <c r="S19" i="23"/>
  <c r="R19" i="23"/>
  <c r="Q19" i="23"/>
  <c r="O19" i="23"/>
  <c r="P19" i="23" s="1"/>
  <c r="N19" i="23"/>
  <c r="T18" i="23"/>
  <c r="S18" i="23"/>
  <c r="R18" i="23"/>
  <c r="Q18" i="23"/>
  <c r="O18" i="23"/>
  <c r="P18" i="23" s="1"/>
  <c r="N18" i="23"/>
  <c r="T17" i="23"/>
  <c r="S17" i="23"/>
  <c r="R17" i="23"/>
  <c r="Q17" i="23"/>
  <c r="O17" i="23"/>
  <c r="P17" i="23" s="1"/>
  <c r="N17" i="23"/>
  <c r="T16" i="23"/>
  <c r="S16" i="23"/>
  <c r="R16" i="23"/>
  <c r="Q16" i="23"/>
  <c r="O16" i="23"/>
  <c r="P16" i="23" s="1"/>
  <c r="N16" i="23"/>
  <c r="T15" i="23"/>
  <c r="S15" i="23"/>
  <c r="R15" i="23"/>
  <c r="Q15" i="23"/>
  <c r="O15" i="23"/>
  <c r="P15" i="23" s="1"/>
  <c r="N15" i="23"/>
  <c r="T14" i="23"/>
  <c r="S14" i="23"/>
  <c r="R14" i="23"/>
  <c r="Q14" i="23"/>
  <c r="O14" i="23"/>
  <c r="P14" i="23" s="1"/>
  <c r="N14" i="23"/>
  <c r="T13" i="23"/>
  <c r="S13" i="23"/>
  <c r="R13" i="23"/>
  <c r="Q13" i="23"/>
  <c r="O13" i="23"/>
  <c r="P13" i="23" s="1"/>
  <c r="N13" i="23"/>
  <c r="T12" i="23"/>
  <c r="S12" i="23"/>
  <c r="R12" i="23"/>
  <c r="Q12" i="23"/>
  <c r="O12" i="23"/>
  <c r="P12" i="23" s="1"/>
  <c r="N12" i="23"/>
  <c r="T11" i="23"/>
  <c r="S11" i="23"/>
  <c r="R11" i="23"/>
  <c r="Q11" i="23"/>
  <c r="O11" i="23"/>
  <c r="P11" i="23" s="1"/>
  <c r="N11" i="23"/>
  <c r="T10" i="23"/>
  <c r="S10" i="23"/>
  <c r="R10" i="23"/>
  <c r="Q10" i="23"/>
  <c r="O10" i="23"/>
  <c r="P10" i="23" s="1"/>
  <c r="N10" i="23"/>
  <c r="T9" i="23"/>
  <c r="S9" i="23"/>
  <c r="R9" i="23"/>
  <c r="Q9" i="23"/>
  <c r="O9" i="23"/>
  <c r="P9" i="23" s="1"/>
  <c r="N9" i="23"/>
  <c r="T8" i="23"/>
  <c r="S8" i="23"/>
  <c r="R8" i="23"/>
  <c r="Q8" i="23"/>
  <c r="O8" i="23"/>
  <c r="P8" i="23" s="1"/>
  <c r="N8" i="23"/>
  <c r="T7" i="23"/>
  <c r="S7" i="23"/>
  <c r="R7" i="23"/>
  <c r="Q7" i="23"/>
  <c r="O7" i="23"/>
  <c r="P7" i="23" s="1"/>
  <c r="N7" i="23"/>
  <c r="T6" i="23"/>
  <c r="S6" i="23"/>
  <c r="R6" i="23"/>
  <c r="Q6" i="23"/>
  <c r="O6" i="23"/>
  <c r="P6" i="23" s="1"/>
  <c r="N6" i="23"/>
  <c r="T5" i="23"/>
  <c r="S5" i="23"/>
  <c r="R5" i="23"/>
  <c r="Q5" i="23"/>
  <c r="O5" i="23"/>
  <c r="P5" i="23" s="1"/>
  <c r="N5" i="23"/>
  <c r="T4" i="23"/>
  <c r="S4" i="23"/>
  <c r="R4" i="23"/>
  <c r="Q4" i="23"/>
  <c r="O4" i="23"/>
  <c r="P4" i="23" s="1"/>
  <c r="N4" i="23"/>
  <c r="T3" i="23"/>
  <c r="S3" i="23"/>
  <c r="R3" i="23"/>
  <c r="Q3" i="23"/>
  <c r="O3" i="23"/>
  <c r="P3" i="23" s="1"/>
  <c r="N3" i="23"/>
  <c r="N33" i="23" l="1"/>
  <c r="R33" i="23"/>
  <c r="T33" i="23"/>
  <c r="Q33" i="23"/>
  <c r="S33" i="23"/>
  <c r="O33" i="23"/>
  <c r="P33" i="23" s="1"/>
  <c r="F36" i="22"/>
  <c r="O31" i="22"/>
  <c r="P31" i="22" s="1"/>
  <c r="O32" i="22"/>
  <c r="P32" i="22" s="1"/>
  <c r="O33" i="22"/>
  <c r="P33" i="22" s="1"/>
  <c r="N31" i="22"/>
  <c r="N32" i="22"/>
  <c r="N33" i="22"/>
  <c r="M34" i="22"/>
  <c r="L34" i="22"/>
  <c r="K34" i="22"/>
  <c r="J34" i="22"/>
  <c r="I34" i="22"/>
  <c r="H34" i="22"/>
  <c r="G34" i="22"/>
  <c r="G36" i="22" s="1"/>
  <c r="F34" i="22"/>
  <c r="E34" i="22"/>
  <c r="D34" i="22"/>
  <c r="N34" i="22" l="1"/>
  <c r="T30" i="22"/>
  <c r="S30" i="22"/>
  <c r="R30" i="22"/>
  <c r="Q30" i="22"/>
  <c r="O30" i="22"/>
  <c r="P30" i="22" s="1"/>
  <c r="N30" i="22"/>
  <c r="T29" i="22"/>
  <c r="S29" i="22"/>
  <c r="R29" i="22"/>
  <c r="Q29" i="22"/>
  <c r="O29" i="22"/>
  <c r="P29" i="22" s="1"/>
  <c r="N29" i="22"/>
  <c r="T28" i="22"/>
  <c r="S28" i="22"/>
  <c r="R28" i="22"/>
  <c r="Q28" i="22"/>
  <c r="O28" i="22"/>
  <c r="P28" i="22" s="1"/>
  <c r="N28" i="22"/>
  <c r="T27" i="22"/>
  <c r="S27" i="22"/>
  <c r="R27" i="22"/>
  <c r="Q27" i="22"/>
  <c r="O27" i="22"/>
  <c r="P27" i="22" s="1"/>
  <c r="N27" i="22"/>
  <c r="T26" i="22"/>
  <c r="S26" i="22"/>
  <c r="R26" i="22"/>
  <c r="Q26" i="22"/>
  <c r="O26" i="22"/>
  <c r="P26" i="22" s="1"/>
  <c r="N26" i="22"/>
  <c r="T25" i="22"/>
  <c r="S25" i="22"/>
  <c r="R25" i="22"/>
  <c r="Q25" i="22"/>
  <c r="O25" i="22"/>
  <c r="P25" i="22" s="1"/>
  <c r="N25" i="22"/>
  <c r="T24" i="22"/>
  <c r="S24" i="22"/>
  <c r="R24" i="22"/>
  <c r="Q24" i="22"/>
  <c r="O24" i="22"/>
  <c r="P24" i="22" s="1"/>
  <c r="N24" i="22"/>
  <c r="T23" i="22"/>
  <c r="S23" i="22"/>
  <c r="R23" i="22"/>
  <c r="Q23" i="22"/>
  <c r="O23" i="22"/>
  <c r="P23" i="22" s="1"/>
  <c r="N23" i="22"/>
  <c r="T22" i="22"/>
  <c r="S22" i="22"/>
  <c r="R22" i="22"/>
  <c r="Q22" i="22"/>
  <c r="O22" i="22"/>
  <c r="P22" i="22" s="1"/>
  <c r="N22" i="22"/>
  <c r="T21" i="22"/>
  <c r="S21" i="22"/>
  <c r="R21" i="22"/>
  <c r="Q21" i="22"/>
  <c r="O21" i="22"/>
  <c r="P21" i="22" s="1"/>
  <c r="N21" i="22"/>
  <c r="T20" i="22"/>
  <c r="S20" i="22"/>
  <c r="R20" i="22"/>
  <c r="Q20" i="22"/>
  <c r="O20" i="22"/>
  <c r="P20" i="22" s="1"/>
  <c r="N20" i="22"/>
  <c r="T19" i="22"/>
  <c r="S19" i="22"/>
  <c r="R19" i="22"/>
  <c r="Q19" i="22"/>
  <c r="O19" i="22"/>
  <c r="P19" i="22" s="1"/>
  <c r="N19" i="22"/>
  <c r="T18" i="22"/>
  <c r="S18" i="22"/>
  <c r="R18" i="22"/>
  <c r="Q18" i="22"/>
  <c r="O18" i="22"/>
  <c r="P18" i="22" s="1"/>
  <c r="N18" i="22"/>
  <c r="T17" i="22"/>
  <c r="S17" i="22"/>
  <c r="R17" i="22"/>
  <c r="Q17" i="22"/>
  <c r="O17" i="22"/>
  <c r="P17" i="22" s="1"/>
  <c r="N17" i="22"/>
  <c r="T16" i="22"/>
  <c r="S16" i="22"/>
  <c r="R16" i="22"/>
  <c r="Q16" i="22"/>
  <c r="O16" i="22"/>
  <c r="P16" i="22" s="1"/>
  <c r="N16" i="22"/>
  <c r="T15" i="22"/>
  <c r="S15" i="22"/>
  <c r="R15" i="22"/>
  <c r="Q15" i="22"/>
  <c r="O15" i="22"/>
  <c r="P15" i="22" s="1"/>
  <c r="N15" i="22"/>
  <c r="T14" i="22"/>
  <c r="S14" i="22"/>
  <c r="R14" i="22"/>
  <c r="Q14" i="22"/>
  <c r="O14" i="22"/>
  <c r="P14" i="22" s="1"/>
  <c r="N14" i="22"/>
  <c r="T13" i="22"/>
  <c r="S13" i="22"/>
  <c r="R13" i="22"/>
  <c r="Q13" i="22"/>
  <c r="O13" i="22"/>
  <c r="P13" i="22" s="1"/>
  <c r="N13" i="22"/>
  <c r="T12" i="22"/>
  <c r="S12" i="22"/>
  <c r="R12" i="22"/>
  <c r="Q12" i="22"/>
  <c r="O12" i="22"/>
  <c r="P12" i="22" s="1"/>
  <c r="N12" i="22"/>
  <c r="T11" i="22"/>
  <c r="S11" i="22"/>
  <c r="R11" i="22"/>
  <c r="Q11" i="22"/>
  <c r="O11" i="22"/>
  <c r="P11" i="22" s="1"/>
  <c r="N11" i="22"/>
  <c r="T10" i="22"/>
  <c r="S10" i="22"/>
  <c r="R10" i="22"/>
  <c r="Q10" i="22"/>
  <c r="O10" i="22"/>
  <c r="P10" i="22" s="1"/>
  <c r="N10" i="22"/>
  <c r="T9" i="22"/>
  <c r="S9" i="22"/>
  <c r="R9" i="22"/>
  <c r="Q9" i="22"/>
  <c r="O9" i="22"/>
  <c r="P9" i="22" s="1"/>
  <c r="N9" i="22"/>
  <c r="T8" i="22"/>
  <c r="S8" i="22"/>
  <c r="R8" i="22"/>
  <c r="Q8" i="22"/>
  <c r="O8" i="22"/>
  <c r="P8" i="22" s="1"/>
  <c r="N8" i="22"/>
  <c r="T7" i="22"/>
  <c r="S7" i="22"/>
  <c r="R7" i="22"/>
  <c r="Q7" i="22"/>
  <c r="O7" i="22"/>
  <c r="P7" i="22" s="1"/>
  <c r="N7" i="22"/>
  <c r="T6" i="22"/>
  <c r="S6" i="22"/>
  <c r="R6" i="22"/>
  <c r="Q6" i="22"/>
  <c r="O6" i="22"/>
  <c r="P6" i="22" s="1"/>
  <c r="N6" i="22"/>
  <c r="T5" i="22"/>
  <c r="S5" i="22"/>
  <c r="R5" i="22"/>
  <c r="Q5" i="22"/>
  <c r="O5" i="22"/>
  <c r="P5" i="22" s="1"/>
  <c r="N5" i="22"/>
  <c r="T4" i="22"/>
  <c r="S4" i="22"/>
  <c r="R4" i="22"/>
  <c r="Q4" i="22"/>
  <c r="O4" i="22"/>
  <c r="P4" i="22" s="1"/>
  <c r="N4" i="22"/>
  <c r="T3" i="22"/>
  <c r="S3" i="22"/>
  <c r="R3" i="22"/>
  <c r="Q3" i="22"/>
  <c r="O3" i="22"/>
  <c r="P3" i="22" s="1"/>
  <c r="N3" i="22"/>
  <c r="O34" i="22" l="1"/>
  <c r="P34" i="22" s="1"/>
  <c r="Q34" i="22"/>
  <c r="S34" i="22"/>
  <c r="R34" i="22"/>
  <c r="T34" i="22"/>
  <c r="M31" i="21"/>
  <c r="M34" i="21" s="1"/>
  <c r="L31" i="21"/>
  <c r="K31" i="21"/>
  <c r="K34" i="21" s="1"/>
  <c r="J31" i="21"/>
  <c r="I31" i="21"/>
  <c r="I34" i="21" s="1"/>
  <c r="H31" i="21"/>
  <c r="H34" i="21" s="1"/>
  <c r="G31" i="21"/>
  <c r="F31" i="21"/>
  <c r="E31" i="21"/>
  <c r="D31" i="21"/>
  <c r="T30" i="21"/>
  <c r="S30" i="21"/>
  <c r="R30" i="21"/>
  <c r="Q30" i="21"/>
  <c r="O30" i="21"/>
  <c r="P30" i="21" s="1"/>
  <c r="N30" i="21"/>
  <c r="T29" i="21"/>
  <c r="S29" i="21"/>
  <c r="R29" i="21"/>
  <c r="Q29" i="21"/>
  <c r="O29" i="21"/>
  <c r="P29" i="21" s="1"/>
  <c r="N29" i="21"/>
  <c r="T28" i="21"/>
  <c r="S28" i="21"/>
  <c r="R28" i="21"/>
  <c r="Q28" i="21"/>
  <c r="O28" i="21"/>
  <c r="P28" i="21" s="1"/>
  <c r="N28" i="21"/>
  <c r="T27" i="21"/>
  <c r="S27" i="21"/>
  <c r="R27" i="21"/>
  <c r="Q27" i="21"/>
  <c r="O27" i="21"/>
  <c r="P27" i="21" s="1"/>
  <c r="N27" i="21"/>
  <c r="T26" i="21"/>
  <c r="S26" i="21"/>
  <c r="R26" i="21"/>
  <c r="Q26" i="21"/>
  <c r="O26" i="21"/>
  <c r="P26" i="21" s="1"/>
  <c r="N26" i="21"/>
  <c r="T25" i="21"/>
  <c r="S25" i="21"/>
  <c r="R25" i="21"/>
  <c r="Q25" i="21"/>
  <c r="O25" i="21"/>
  <c r="P25" i="21" s="1"/>
  <c r="N25" i="21"/>
  <c r="T24" i="21"/>
  <c r="S24" i="21"/>
  <c r="R24" i="21"/>
  <c r="Q24" i="21"/>
  <c r="O24" i="21"/>
  <c r="P24" i="21" s="1"/>
  <c r="N24" i="21"/>
  <c r="T23" i="21"/>
  <c r="S23" i="21"/>
  <c r="R23" i="21"/>
  <c r="Q23" i="21"/>
  <c r="O23" i="21"/>
  <c r="P23" i="21" s="1"/>
  <c r="N23" i="21"/>
  <c r="T22" i="21"/>
  <c r="S22" i="21"/>
  <c r="R22" i="21"/>
  <c r="Q22" i="21"/>
  <c r="O22" i="21"/>
  <c r="P22" i="21" s="1"/>
  <c r="N22" i="21"/>
  <c r="T21" i="21"/>
  <c r="S21" i="21"/>
  <c r="R21" i="21"/>
  <c r="Q21" i="21"/>
  <c r="O21" i="21"/>
  <c r="P21" i="21" s="1"/>
  <c r="N21" i="21"/>
  <c r="T20" i="21"/>
  <c r="S20" i="21"/>
  <c r="R20" i="21"/>
  <c r="Q20" i="21"/>
  <c r="O20" i="21"/>
  <c r="P20" i="21" s="1"/>
  <c r="N20" i="21"/>
  <c r="T19" i="21"/>
  <c r="S19" i="21"/>
  <c r="R19" i="21"/>
  <c r="Q19" i="21"/>
  <c r="O19" i="21"/>
  <c r="P19" i="21" s="1"/>
  <c r="N19" i="21"/>
  <c r="T18" i="21"/>
  <c r="S18" i="21"/>
  <c r="R18" i="21"/>
  <c r="Q18" i="21"/>
  <c r="O18" i="21"/>
  <c r="P18" i="21" s="1"/>
  <c r="N18" i="21"/>
  <c r="T17" i="21"/>
  <c r="S17" i="21"/>
  <c r="R17" i="21"/>
  <c r="Q17" i="21"/>
  <c r="O17" i="21"/>
  <c r="P17" i="21" s="1"/>
  <c r="N17" i="21"/>
  <c r="T16" i="21"/>
  <c r="S16" i="21"/>
  <c r="R16" i="21"/>
  <c r="Q16" i="21"/>
  <c r="O16" i="21"/>
  <c r="P16" i="21" s="1"/>
  <c r="N16" i="21"/>
  <c r="T15" i="21"/>
  <c r="S15" i="21"/>
  <c r="R15" i="21"/>
  <c r="Q15" i="21"/>
  <c r="O15" i="21"/>
  <c r="P15" i="21" s="1"/>
  <c r="N15" i="21"/>
  <c r="T14" i="21"/>
  <c r="S14" i="21"/>
  <c r="R14" i="21"/>
  <c r="Q14" i="21"/>
  <c r="O14" i="21"/>
  <c r="P14" i="21" s="1"/>
  <c r="N14" i="21"/>
  <c r="T13" i="21"/>
  <c r="S13" i="21"/>
  <c r="R13" i="21"/>
  <c r="Q13" i="21"/>
  <c r="O13" i="21"/>
  <c r="P13" i="21" s="1"/>
  <c r="N13" i="21"/>
  <c r="T12" i="21"/>
  <c r="S12" i="21"/>
  <c r="R12" i="21"/>
  <c r="Q12" i="21"/>
  <c r="O12" i="21"/>
  <c r="P12" i="21" s="1"/>
  <c r="N12" i="21"/>
  <c r="T11" i="21"/>
  <c r="S11" i="21"/>
  <c r="R11" i="21"/>
  <c r="Q11" i="21"/>
  <c r="O11" i="21"/>
  <c r="P11" i="21" s="1"/>
  <c r="N11" i="21"/>
  <c r="T10" i="21"/>
  <c r="S10" i="21"/>
  <c r="R10" i="21"/>
  <c r="Q10" i="21"/>
  <c r="O10" i="21"/>
  <c r="P10" i="21" s="1"/>
  <c r="N10" i="21"/>
  <c r="T9" i="21"/>
  <c r="S9" i="21"/>
  <c r="R9" i="21"/>
  <c r="Q9" i="21"/>
  <c r="O9" i="21"/>
  <c r="P9" i="21" s="1"/>
  <c r="N9" i="21"/>
  <c r="T8" i="21"/>
  <c r="S8" i="21"/>
  <c r="R8" i="21"/>
  <c r="Q8" i="21"/>
  <c r="O8" i="21"/>
  <c r="P8" i="21" s="1"/>
  <c r="N8" i="21"/>
  <c r="T7" i="21"/>
  <c r="S7" i="21"/>
  <c r="R7" i="21"/>
  <c r="Q7" i="21"/>
  <c r="O7" i="21"/>
  <c r="P7" i="21" s="1"/>
  <c r="N7" i="21"/>
  <c r="T6" i="21"/>
  <c r="S6" i="21"/>
  <c r="R6" i="21"/>
  <c r="Q6" i="21"/>
  <c r="O6" i="21"/>
  <c r="P6" i="21" s="1"/>
  <c r="N6" i="21"/>
  <c r="T5" i="21"/>
  <c r="S5" i="21"/>
  <c r="R5" i="21"/>
  <c r="Q5" i="21"/>
  <c r="O5" i="21"/>
  <c r="P5" i="21" s="1"/>
  <c r="N5" i="21"/>
  <c r="T4" i="21"/>
  <c r="S4" i="21"/>
  <c r="R4" i="21"/>
  <c r="Q4" i="21"/>
  <c r="O4" i="21"/>
  <c r="P4" i="21" s="1"/>
  <c r="N4" i="21"/>
  <c r="T3" i="21"/>
  <c r="S3" i="21"/>
  <c r="R3" i="21"/>
  <c r="Q3" i="21"/>
  <c r="O3" i="21"/>
  <c r="P3" i="21" s="1"/>
  <c r="N3" i="21"/>
  <c r="R31" i="21" l="1"/>
  <c r="Q31" i="21"/>
  <c r="S31" i="21"/>
  <c r="T31" i="21"/>
  <c r="O31" i="21"/>
  <c r="P31" i="21" s="1"/>
  <c r="N31" i="21"/>
  <c r="D40" i="20"/>
  <c r="M34" i="20"/>
  <c r="L34" i="20"/>
  <c r="K34" i="20"/>
  <c r="J34" i="20"/>
  <c r="I34" i="20"/>
  <c r="H34" i="20"/>
  <c r="G34" i="20"/>
  <c r="F34" i="20"/>
  <c r="E34" i="20"/>
  <c r="D34" i="20"/>
  <c r="R33" i="20"/>
  <c r="Q33" i="20"/>
  <c r="O33" i="20"/>
  <c r="P33" i="20" s="1"/>
  <c r="N33" i="20"/>
  <c r="R32" i="20"/>
  <c r="Q32" i="20"/>
  <c r="O32" i="20"/>
  <c r="P32" i="20" s="1"/>
  <c r="N32" i="20"/>
  <c r="R31" i="20"/>
  <c r="Q31" i="20"/>
  <c r="O31" i="20"/>
  <c r="P31" i="20" s="1"/>
  <c r="N31" i="20"/>
  <c r="R30" i="20"/>
  <c r="Q30" i="20"/>
  <c r="P30" i="20"/>
  <c r="O30" i="20"/>
  <c r="N30" i="20"/>
  <c r="R29" i="20"/>
  <c r="Q29" i="20"/>
  <c r="O29" i="20"/>
  <c r="P29" i="20" s="1"/>
  <c r="N29" i="20"/>
  <c r="R28" i="20"/>
  <c r="Q28" i="20"/>
  <c r="P28" i="20"/>
  <c r="O28" i="20"/>
  <c r="N28" i="20"/>
  <c r="R27" i="20"/>
  <c r="Q27" i="20"/>
  <c r="O27" i="20"/>
  <c r="P27" i="20" s="1"/>
  <c r="N27" i="20"/>
  <c r="R26" i="20"/>
  <c r="Q26" i="20"/>
  <c r="O26" i="20"/>
  <c r="P26" i="20" s="1"/>
  <c r="N26" i="20"/>
  <c r="R25" i="20"/>
  <c r="Q25" i="20"/>
  <c r="O25" i="20"/>
  <c r="P25" i="20" s="1"/>
  <c r="N25" i="20"/>
  <c r="R24" i="20"/>
  <c r="Q24" i="20"/>
  <c r="O24" i="20"/>
  <c r="P24" i="20" s="1"/>
  <c r="N24" i="20"/>
  <c r="R23" i="20"/>
  <c r="Q23" i="20"/>
  <c r="O23" i="20"/>
  <c r="P23" i="20" s="1"/>
  <c r="N23" i="20"/>
  <c r="R22" i="20"/>
  <c r="Q22" i="20"/>
  <c r="O22" i="20"/>
  <c r="P22" i="20" s="1"/>
  <c r="N22" i="20"/>
  <c r="R21" i="20"/>
  <c r="Q21" i="20"/>
  <c r="O21" i="20"/>
  <c r="P21" i="20" s="1"/>
  <c r="N21" i="20"/>
  <c r="R20" i="20"/>
  <c r="Q20" i="20"/>
  <c r="O20" i="20"/>
  <c r="P20" i="20" s="1"/>
  <c r="N20" i="20"/>
  <c r="R19" i="20"/>
  <c r="Q19" i="20"/>
  <c r="O19" i="20"/>
  <c r="P19" i="20" s="1"/>
  <c r="N19" i="20"/>
  <c r="R18" i="20"/>
  <c r="Q18" i="20"/>
  <c r="O18" i="20"/>
  <c r="P18" i="20" s="1"/>
  <c r="N18" i="20"/>
  <c r="R17" i="20"/>
  <c r="Q17" i="20"/>
  <c r="O17" i="20"/>
  <c r="P17" i="20" s="1"/>
  <c r="N17" i="20"/>
  <c r="R16" i="20"/>
  <c r="Q16" i="20"/>
  <c r="O16" i="20"/>
  <c r="P16" i="20" s="1"/>
  <c r="N16" i="20"/>
  <c r="R15" i="20"/>
  <c r="Q15" i="20"/>
  <c r="O15" i="20"/>
  <c r="P15" i="20" s="1"/>
  <c r="N15" i="20"/>
  <c r="R14" i="20"/>
  <c r="Q14" i="20"/>
  <c r="P14" i="20"/>
  <c r="O14" i="20"/>
  <c r="N14" i="20"/>
  <c r="R13" i="20"/>
  <c r="Q13" i="20"/>
  <c r="O13" i="20"/>
  <c r="P13" i="20" s="1"/>
  <c r="N13" i="20"/>
  <c r="R12" i="20"/>
  <c r="Q12" i="20"/>
  <c r="O12" i="20"/>
  <c r="P12" i="20" s="1"/>
  <c r="N12" i="20"/>
  <c r="R11" i="20"/>
  <c r="Q11" i="20"/>
  <c r="O11" i="20"/>
  <c r="P11" i="20" s="1"/>
  <c r="N11" i="20"/>
  <c r="R10" i="20"/>
  <c r="Q10" i="20"/>
  <c r="P10" i="20"/>
  <c r="O10" i="20"/>
  <c r="N10" i="20"/>
  <c r="R9" i="20"/>
  <c r="Q9" i="20"/>
  <c r="O9" i="20"/>
  <c r="P9" i="20" s="1"/>
  <c r="N9" i="20"/>
  <c r="R8" i="20"/>
  <c r="Q8" i="20"/>
  <c r="O8" i="20"/>
  <c r="P8" i="20" s="1"/>
  <c r="N8" i="20"/>
  <c r="R7" i="20"/>
  <c r="Q7" i="20"/>
  <c r="O7" i="20"/>
  <c r="P7" i="20" s="1"/>
  <c r="N7" i="20"/>
  <c r="R6" i="20"/>
  <c r="Q6" i="20"/>
  <c r="O6" i="20"/>
  <c r="P6" i="20" s="1"/>
  <c r="N6" i="20"/>
  <c r="R5" i="20"/>
  <c r="Q5" i="20"/>
  <c r="O5" i="20"/>
  <c r="P5" i="20" s="1"/>
  <c r="N5" i="20"/>
  <c r="R4" i="20"/>
  <c r="Q4" i="20"/>
  <c r="O4" i="20"/>
  <c r="P4" i="20" s="1"/>
  <c r="N4" i="20"/>
  <c r="R3" i="20"/>
  <c r="Q3" i="20"/>
  <c r="Q34" i="20" s="1"/>
  <c r="O3" i="20"/>
  <c r="P3" i="20" s="1"/>
  <c r="N3" i="20"/>
  <c r="T33" i="20"/>
  <c r="S33" i="20"/>
  <c r="T32" i="20"/>
  <c r="S32" i="20"/>
  <c r="T31" i="20"/>
  <c r="S31" i="20"/>
  <c r="T30" i="20"/>
  <c r="S30" i="20"/>
  <c r="T29" i="20"/>
  <c r="S29" i="20"/>
  <c r="T28" i="20"/>
  <c r="S28" i="20"/>
  <c r="T27" i="20"/>
  <c r="S27" i="20"/>
  <c r="T26" i="20"/>
  <c r="S26" i="20"/>
  <c r="T25" i="20"/>
  <c r="S25" i="20"/>
  <c r="T24" i="20"/>
  <c r="S24" i="20"/>
  <c r="T23" i="20"/>
  <c r="S23" i="20"/>
  <c r="T22" i="20"/>
  <c r="S22" i="20"/>
  <c r="T21" i="20"/>
  <c r="S21" i="20"/>
  <c r="T20" i="20"/>
  <c r="S20" i="20"/>
  <c r="T19" i="20"/>
  <c r="S19" i="20"/>
  <c r="T18" i="20"/>
  <c r="S18" i="20"/>
  <c r="T17" i="20"/>
  <c r="S17" i="20"/>
  <c r="T16" i="20"/>
  <c r="S16" i="20"/>
  <c r="T15" i="20"/>
  <c r="S15" i="20"/>
  <c r="T14" i="20"/>
  <c r="S14" i="20"/>
  <c r="T13" i="20"/>
  <c r="S13" i="20"/>
  <c r="T12" i="20"/>
  <c r="S12" i="20"/>
  <c r="T11" i="20"/>
  <c r="S11" i="20"/>
  <c r="T10" i="20"/>
  <c r="S10" i="20"/>
  <c r="T9" i="20"/>
  <c r="S9" i="20"/>
  <c r="T8" i="20"/>
  <c r="S8" i="20"/>
  <c r="T7" i="20"/>
  <c r="S7" i="20"/>
  <c r="T6" i="20"/>
  <c r="S6" i="20"/>
  <c r="T5" i="20"/>
  <c r="S5" i="20"/>
  <c r="T4" i="20"/>
  <c r="S4" i="20"/>
  <c r="T3" i="20"/>
  <c r="T34" i="20" s="1"/>
  <c r="S3" i="20"/>
  <c r="S34" i="20" s="1"/>
  <c r="R34" i="20" l="1"/>
  <c r="F42" i="20"/>
  <c r="O34" i="20"/>
  <c r="P34" i="20" s="1"/>
  <c r="E42" i="20"/>
  <c r="G42" i="20" s="1"/>
  <c r="N34" i="20"/>
  <c r="D40" i="19" l="1"/>
  <c r="M34" i="19" l="1"/>
  <c r="L34" i="19"/>
  <c r="K34" i="19"/>
  <c r="J34" i="19"/>
  <c r="I34" i="19"/>
  <c r="H34" i="19"/>
  <c r="G34" i="19"/>
  <c r="F34" i="19"/>
  <c r="E34" i="19"/>
  <c r="D34" i="19"/>
  <c r="R33" i="19"/>
  <c r="Q33" i="19"/>
  <c r="O33" i="19"/>
  <c r="P33" i="19" s="1"/>
  <c r="N33" i="19"/>
  <c r="R32" i="19"/>
  <c r="Q32" i="19"/>
  <c r="O32" i="19"/>
  <c r="P32" i="19" s="1"/>
  <c r="N32" i="19"/>
  <c r="R31" i="19"/>
  <c r="Q31" i="19"/>
  <c r="O31" i="19"/>
  <c r="P31" i="19" s="1"/>
  <c r="N31" i="19"/>
  <c r="R30" i="19"/>
  <c r="Q30" i="19"/>
  <c r="O30" i="19"/>
  <c r="P30" i="19" s="1"/>
  <c r="N30" i="19"/>
  <c r="R29" i="19"/>
  <c r="Q29" i="19"/>
  <c r="O29" i="19"/>
  <c r="P29" i="19" s="1"/>
  <c r="N29" i="19"/>
  <c r="R28" i="19"/>
  <c r="Q28" i="19"/>
  <c r="O28" i="19"/>
  <c r="P28" i="19" s="1"/>
  <c r="N28" i="19"/>
  <c r="R27" i="19"/>
  <c r="Q27" i="19"/>
  <c r="P27" i="19"/>
  <c r="O27" i="19"/>
  <c r="N27" i="19"/>
  <c r="R26" i="19"/>
  <c r="Q26" i="19"/>
  <c r="O26" i="19"/>
  <c r="P26" i="19" s="1"/>
  <c r="N26" i="19"/>
  <c r="R25" i="19"/>
  <c r="Q25" i="19"/>
  <c r="P25" i="19"/>
  <c r="O25" i="19"/>
  <c r="N25" i="19"/>
  <c r="R24" i="19"/>
  <c r="Q24" i="19"/>
  <c r="O24" i="19"/>
  <c r="P24" i="19" s="1"/>
  <c r="N24" i="19"/>
  <c r="R23" i="19"/>
  <c r="Q23" i="19"/>
  <c r="O23" i="19"/>
  <c r="P23" i="19" s="1"/>
  <c r="N23" i="19"/>
  <c r="R22" i="19"/>
  <c r="Q22" i="19"/>
  <c r="O22" i="19"/>
  <c r="P22" i="19" s="1"/>
  <c r="N22" i="19"/>
  <c r="R21" i="19"/>
  <c r="Q21" i="19"/>
  <c r="O21" i="19"/>
  <c r="P21" i="19" s="1"/>
  <c r="N21" i="19"/>
  <c r="R20" i="19"/>
  <c r="Q20" i="19"/>
  <c r="O20" i="19"/>
  <c r="P20" i="19" s="1"/>
  <c r="N20" i="19"/>
  <c r="R19" i="19"/>
  <c r="Q19" i="19"/>
  <c r="P19" i="19"/>
  <c r="O19" i="19"/>
  <c r="N19" i="19"/>
  <c r="R18" i="19"/>
  <c r="Q18" i="19"/>
  <c r="O18" i="19"/>
  <c r="P18" i="19" s="1"/>
  <c r="N18" i="19"/>
  <c r="R17" i="19"/>
  <c r="Q17" i="19"/>
  <c r="O17" i="19"/>
  <c r="P17" i="19" s="1"/>
  <c r="N17" i="19"/>
  <c r="R16" i="19"/>
  <c r="Q16" i="19"/>
  <c r="O16" i="19"/>
  <c r="P16" i="19" s="1"/>
  <c r="N16" i="19"/>
  <c r="R15" i="19"/>
  <c r="Q15" i="19"/>
  <c r="O15" i="19"/>
  <c r="P15" i="19" s="1"/>
  <c r="N15" i="19"/>
  <c r="R14" i="19"/>
  <c r="Q14" i="19"/>
  <c r="O14" i="19"/>
  <c r="P14" i="19" s="1"/>
  <c r="N14" i="19"/>
  <c r="R13" i="19"/>
  <c r="Q13" i="19"/>
  <c r="O13" i="19"/>
  <c r="P13" i="19" s="1"/>
  <c r="N13" i="19"/>
  <c r="R12" i="19"/>
  <c r="Q12" i="19"/>
  <c r="O12" i="19"/>
  <c r="P12" i="19" s="1"/>
  <c r="N12" i="19"/>
  <c r="R11" i="19"/>
  <c r="Q11" i="19"/>
  <c r="P11" i="19"/>
  <c r="O11" i="19"/>
  <c r="N11" i="19"/>
  <c r="R10" i="19"/>
  <c r="Q10" i="19"/>
  <c r="O10" i="19"/>
  <c r="P10" i="19" s="1"/>
  <c r="N10" i="19"/>
  <c r="R9" i="19"/>
  <c r="Q9" i="19"/>
  <c r="P9" i="19"/>
  <c r="O9" i="19"/>
  <c r="N9" i="19"/>
  <c r="R8" i="19"/>
  <c r="Q8" i="19"/>
  <c r="O8" i="19"/>
  <c r="P8" i="19" s="1"/>
  <c r="N8" i="19"/>
  <c r="R7" i="19"/>
  <c r="Q7" i="19"/>
  <c r="O7" i="19"/>
  <c r="P7" i="19" s="1"/>
  <c r="N7" i="19"/>
  <c r="R6" i="19"/>
  <c r="Q6" i="19"/>
  <c r="O6" i="19"/>
  <c r="P6" i="19" s="1"/>
  <c r="N6" i="19"/>
  <c r="R5" i="19"/>
  <c r="Q5" i="19"/>
  <c r="O5" i="19"/>
  <c r="P5" i="19" s="1"/>
  <c r="N5" i="19"/>
  <c r="R4" i="19"/>
  <c r="Q4" i="19"/>
  <c r="O4" i="19"/>
  <c r="P4" i="19" s="1"/>
  <c r="N4" i="19"/>
  <c r="R3" i="19"/>
  <c r="Q3" i="19"/>
  <c r="P3" i="19"/>
  <c r="O3" i="19"/>
  <c r="N3" i="19"/>
  <c r="G43" i="19" l="1"/>
  <c r="R34" i="19"/>
  <c r="N34" i="19"/>
  <c r="F43" i="19"/>
  <c r="F45" i="19" s="1"/>
  <c r="Q34" i="19"/>
  <c r="O34" i="19"/>
  <c r="P34" i="19" s="1"/>
  <c r="D40" i="18"/>
  <c r="M34" i="18"/>
  <c r="L34" i="18"/>
  <c r="K34" i="18"/>
  <c r="J34" i="18"/>
  <c r="I34" i="18"/>
  <c r="H34" i="18"/>
  <c r="G34" i="18"/>
  <c r="F34" i="18"/>
  <c r="E34" i="18"/>
  <c r="D34" i="18"/>
  <c r="R33" i="18"/>
  <c r="Q33" i="18"/>
  <c r="O33" i="18"/>
  <c r="P33" i="18" s="1"/>
  <c r="N33" i="18"/>
  <c r="R32" i="18"/>
  <c r="Q32" i="18"/>
  <c r="O32" i="18"/>
  <c r="P32" i="18" s="1"/>
  <c r="N32" i="18"/>
  <c r="R31" i="18"/>
  <c r="Q31" i="18"/>
  <c r="O31" i="18"/>
  <c r="P31" i="18" s="1"/>
  <c r="N31" i="18"/>
  <c r="R30" i="18"/>
  <c r="Q30" i="18"/>
  <c r="P30" i="18"/>
  <c r="O30" i="18"/>
  <c r="N30" i="18"/>
  <c r="R29" i="18"/>
  <c r="Q29" i="18"/>
  <c r="O29" i="18"/>
  <c r="P29" i="18" s="1"/>
  <c r="N29" i="18"/>
  <c r="R28" i="18"/>
  <c r="Q28" i="18"/>
  <c r="O28" i="18"/>
  <c r="P28" i="18" s="1"/>
  <c r="N28" i="18"/>
  <c r="R27" i="18"/>
  <c r="Q27" i="18"/>
  <c r="O27" i="18"/>
  <c r="P27" i="18" s="1"/>
  <c r="N27" i="18"/>
  <c r="R26" i="18"/>
  <c r="Q26" i="18"/>
  <c r="P26" i="18"/>
  <c r="O26" i="18"/>
  <c r="N26" i="18"/>
  <c r="R25" i="18"/>
  <c r="Q25" i="18"/>
  <c r="O25" i="18"/>
  <c r="P25" i="18" s="1"/>
  <c r="N25" i="18"/>
  <c r="R24" i="18"/>
  <c r="Q24" i="18"/>
  <c r="O24" i="18"/>
  <c r="P24" i="18" s="1"/>
  <c r="N24" i="18"/>
  <c r="R23" i="18"/>
  <c r="Q23" i="18"/>
  <c r="O23" i="18"/>
  <c r="P23" i="18" s="1"/>
  <c r="N23" i="18"/>
  <c r="R22" i="18"/>
  <c r="Q22" i="18"/>
  <c r="P22" i="18"/>
  <c r="O22" i="18"/>
  <c r="N22" i="18"/>
  <c r="R21" i="18"/>
  <c r="Q21" i="18"/>
  <c r="O21" i="18"/>
  <c r="P21" i="18" s="1"/>
  <c r="N21" i="18"/>
  <c r="R20" i="18"/>
  <c r="Q20" i="18"/>
  <c r="O20" i="18"/>
  <c r="P20" i="18" s="1"/>
  <c r="N20" i="18"/>
  <c r="R19" i="18"/>
  <c r="Q19" i="18"/>
  <c r="O19" i="18"/>
  <c r="P19" i="18" s="1"/>
  <c r="N19" i="18"/>
  <c r="R18" i="18"/>
  <c r="Q18" i="18"/>
  <c r="O18" i="18"/>
  <c r="P18" i="18" s="1"/>
  <c r="N18" i="18"/>
  <c r="R17" i="18"/>
  <c r="Q17" i="18"/>
  <c r="O17" i="18"/>
  <c r="P17" i="18" s="1"/>
  <c r="N17" i="18"/>
  <c r="R16" i="18"/>
  <c r="Q16" i="18"/>
  <c r="O16" i="18"/>
  <c r="P16" i="18" s="1"/>
  <c r="N16" i="18"/>
  <c r="R15" i="18"/>
  <c r="Q15" i="18"/>
  <c r="O15" i="18"/>
  <c r="P15" i="18" s="1"/>
  <c r="N15" i="18"/>
  <c r="R14" i="18"/>
  <c r="Q14" i="18"/>
  <c r="P14" i="18"/>
  <c r="O14" i="18"/>
  <c r="N14" i="18"/>
  <c r="R13" i="18"/>
  <c r="Q13" i="18"/>
  <c r="O13" i="18"/>
  <c r="P13" i="18" s="1"/>
  <c r="N13" i="18"/>
  <c r="R12" i="18"/>
  <c r="Q12" i="18"/>
  <c r="O12" i="18"/>
  <c r="P12" i="18" s="1"/>
  <c r="N12" i="18"/>
  <c r="R11" i="18"/>
  <c r="Q11" i="18"/>
  <c r="O11" i="18"/>
  <c r="P11" i="18" s="1"/>
  <c r="N11" i="18"/>
  <c r="R10" i="18"/>
  <c r="Q10" i="18"/>
  <c r="O10" i="18"/>
  <c r="P10" i="18" s="1"/>
  <c r="N10" i="18"/>
  <c r="R9" i="18"/>
  <c r="Q9" i="18"/>
  <c r="O9" i="18"/>
  <c r="P9" i="18" s="1"/>
  <c r="N9" i="18"/>
  <c r="R8" i="18"/>
  <c r="Q8" i="18"/>
  <c r="O8" i="18"/>
  <c r="P8" i="18" s="1"/>
  <c r="N8" i="18"/>
  <c r="R7" i="18"/>
  <c r="Q7" i="18"/>
  <c r="O7" i="18"/>
  <c r="P7" i="18" s="1"/>
  <c r="N7" i="18"/>
  <c r="R6" i="18"/>
  <c r="Q6" i="18"/>
  <c r="O6" i="18"/>
  <c r="P6" i="18" s="1"/>
  <c r="N6" i="18"/>
  <c r="R5" i="18"/>
  <c r="Q5" i="18"/>
  <c r="O5" i="18"/>
  <c r="P5" i="18" s="1"/>
  <c r="N5" i="18"/>
  <c r="R4" i="18"/>
  <c r="Q4" i="18"/>
  <c r="O4" i="18"/>
  <c r="P4" i="18" s="1"/>
  <c r="N4" i="18"/>
  <c r="R3" i="18"/>
  <c r="Q3" i="18"/>
  <c r="O3" i="18"/>
  <c r="P3" i="18" s="1"/>
  <c r="N3" i="18"/>
  <c r="R34" i="18" l="1"/>
  <c r="O34" i="18"/>
  <c r="P34" i="18" s="1"/>
  <c r="Q34" i="18"/>
  <c r="D36" i="18"/>
  <c r="N34" i="18"/>
  <c r="P10" i="17" l="1"/>
  <c r="P11" i="17"/>
  <c r="P18" i="17"/>
  <c r="P19" i="17"/>
  <c r="P26" i="17"/>
  <c r="P27" i="17"/>
  <c r="O4" i="17"/>
  <c r="P4" i="17" s="1"/>
  <c r="O5" i="17"/>
  <c r="P5" i="17" s="1"/>
  <c r="O6" i="17"/>
  <c r="P6" i="17" s="1"/>
  <c r="O7" i="17"/>
  <c r="P7" i="17" s="1"/>
  <c r="O8" i="17"/>
  <c r="P8" i="17" s="1"/>
  <c r="O9" i="17"/>
  <c r="P9" i="17" s="1"/>
  <c r="O10" i="17"/>
  <c r="O11" i="17"/>
  <c r="O12" i="17"/>
  <c r="P12" i="17" s="1"/>
  <c r="O13" i="17"/>
  <c r="P13" i="17" s="1"/>
  <c r="O14" i="17"/>
  <c r="P14" i="17" s="1"/>
  <c r="O15" i="17"/>
  <c r="P15" i="17" s="1"/>
  <c r="O16" i="17"/>
  <c r="P16" i="17" s="1"/>
  <c r="O17" i="17"/>
  <c r="P17" i="17" s="1"/>
  <c r="O18" i="17"/>
  <c r="O19" i="17"/>
  <c r="O20" i="17"/>
  <c r="P20" i="17" s="1"/>
  <c r="O21" i="17"/>
  <c r="P21" i="17" s="1"/>
  <c r="O22" i="17"/>
  <c r="P22" i="17" s="1"/>
  <c r="O23" i="17"/>
  <c r="P23" i="17" s="1"/>
  <c r="O24" i="17"/>
  <c r="P24" i="17" s="1"/>
  <c r="O25" i="17"/>
  <c r="P25" i="17" s="1"/>
  <c r="O26" i="17"/>
  <c r="O27" i="17"/>
  <c r="O28" i="17"/>
  <c r="P28" i="17" s="1"/>
  <c r="O29" i="17"/>
  <c r="P29" i="17" s="1"/>
  <c r="O30" i="17"/>
  <c r="P30" i="17" s="1"/>
  <c r="O31" i="17"/>
  <c r="P31" i="17" s="1"/>
  <c r="O32" i="17"/>
  <c r="P32" i="17" s="1"/>
  <c r="O33" i="17"/>
  <c r="P33" i="17" s="1"/>
  <c r="N4" i="17"/>
  <c r="N5" i="17"/>
  <c r="N6" i="17"/>
  <c r="N7" i="17"/>
  <c r="N8" i="17"/>
  <c r="N9" i="17"/>
  <c r="N10" i="17"/>
  <c r="N11" i="17"/>
  <c r="N12" i="17"/>
  <c r="N13" i="17"/>
  <c r="N14" i="17"/>
  <c r="N15" i="17"/>
  <c r="N16" i="17"/>
  <c r="N17" i="17"/>
  <c r="N18" i="17"/>
  <c r="N19" i="17"/>
  <c r="N20" i="17"/>
  <c r="N21" i="17"/>
  <c r="N22" i="17"/>
  <c r="N23" i="17"/>
  <c r="N24" i="17"/>
  <c r="N25" i="17"/>
  <c r="N26" i="17"/>
  <c r="N27" i="17"/>
  <c r="N28" i="17"/>
  <c r="N29" i="17"/>
  <c r="N30" i="17"/>
  <c r="N31" i="17"/>
  <c r="N32" i="17"/>
  <c r="N33" i="17"/>
  <c r="D40" i="17" l="1"/>
  <c r="M34" i="17"/>
  <c r="L34" i="17"/>
  <c r="K34" i="17"/>
  <c r="J34" i="17"/>
  <c r="I34" i="17"/>
  <c r="H34" i="17"/>
  <c r="G34" i="17"/>
  <c r="F34" i="17"/>
  <c r="E34" i="17"/>
  <c r="D34" i="17"/>
  <c r="D36" i="17" s="1"/>
  <c r="R32" i="17"/>
  <c r="Q32" i="17"/>
  <c r="R31" i="17"/>
  <c r="Q31" i="17"/>
  <c r="R30" i="17"/>
  <c r="Q30" i="17"/>
  <c r="R29" i="17"/>
  <c r="Q29" i="17"/>
  <c r="R28" i="17"/>
  <c r="Q28" i="17"/>
  <c r="R27" i="17"/>
  <c r="Q27" i="17"/>
  <c r="R26" i="17"/>
  <c r="Q26" i="17"/>
  <c r="R25" i="17"/>
  <c r="Q25" i="17"/>
  <c r="R24" i="17"/>
  <c r="Q24" i="17"/>
  <c r="R23" i="17"/>
  <c r="Q23" i="17"/>
  <c r="R22" i="17"/>
  <c r="Q22" i="17"/>
  <c r="R21" i="17"/>
  <c r="Q21" i="17"/>
  <c r="R20" i="17"/>
  <c r="Q20" i="17"/>
  <c r="R19" i="17"/>
  <c r="Q19" i="17"/>
  <c r="R18" i="17"/>
  <c r="Q18" i="17"/>
  <c r="R17" i="17"/>
  <c r="Q17" i="17"/>
  <c r="R16" i="17"/>
  <c r="Q16" i="17"/>
  <c r="R15" i="17"/>
  <c r="Q15" i="17"/>
  <c r="R14" i="17"/>
  <c r="Q14" i="17"/>
  <c r="R13" i="17"/>
  <c r="Q13" i="17"/>
  <c r="R12" i="17"/>
  <c r="Q12" i="17"/>
  <c r="R11" i="17"/>
  <c r="Q11" i="17"/>
  <c r="R10" i="17"/>
  <c r="Q10" i="17"/>
  <c r="R9" i="17"/>
  <c r="Q9" i="17"/>
  <c r="R8" i="17"/>
  <c r="Q8" i="17"/>
  <c r="R7" i="17"/>
  <c r="Q7" i="17"/>
  <c r="R6" i="17"/>
  <c r="Q6" i="17"/>
  <c r="R5" i="17"/>
  <c r="Q5" i="17"/>
  <c r="R4" i="17"/>
  <c r="Q4" i="17"/>
  <c r="R3" i="17"/>
  <c r="Q3" i="17"/>
  <c r="Q34" i="17" s="1"/>
  <c r="O3" i="17"/>
  <c r="P3" i="17" s="1"/>
  <c r="N3" i="17"/>
  <c r="N34" i="17" s="1"/>
  <c r="R34" i="17" l="1"/>
  <c r="P34" i="17"/>
  <c r="O34" i="17"/>
  <c r="R32" i="16"/>
  <c r="Q32" i="16"/>
  <c r="O32" i="16"/>
  <c r="P32" i="16" s="1"/>
  <c r="N32" i="16"/>
  <c r="R31" i="16"/>
  <c r="Q31" i="16"/>
  <c r="P31" i="16"/>
  <c r="O31" i="16"/>
  <c r="N31" i="16"/>
  <c r="R30" i="16"/>
  <c r="Q30" i="16"/>
  <c r="O30" i="16"/>
  <c r="P30" i="16" s="1"/>
  <c r="N30" i="16"/>
  <c r="R29" i="16"/>
  <c r="Q29" i="16"/>
  <c r="O29" i="16"/>
  <c r="P29" i="16" s="1"/>
  <c r="N29" i="16"/>
  <c r="R28" i="16"/>
  <c r="Q28" i="16"/>
  <c r="O28" i="16"/>
  <c r="P28" i="16" s="1"/>
  <c r="N28" i="16"/>
  <c r="R27" i="16"/>
  <c r="Q27" i="16"/>
  <c r="O27" i="16"/>
  <c r="P27" i="16" s="1"/>
  <c r="N27" i="16"/>
  <c r="R26" i="16"/>
  <c r="Q26" i="16"/>
  <c r="O26" i="16"/>
  <c r="P26" i="16" s="1"/>
  <c r="N26" i="16"/>
  <c r="R25" i="16"/>
  <c r="Q25" i="16"/>
  <c r="O25" i="16"/>
  <c r="P25" i="16" s="1"/>
  <c r="N25" i="16"/>
  <c r="R24" i="16"/>
  <c r="Q24" i="16"/>
  <c r="O24" i="16"/>
  <c r="P24" i="16" s="1"/>
  <c r="N24" i="16"/>
  <c r="R23" i="16"/>
  <c r="Q23" i="16"/>
  <c r="O23" i="16"/>
  <c r="P23" i="16" s="1"/>
  <c r="N23" i="16"/>
  <c r="R22" i="16"/>
  <c r="Q22" i="16"/>
  <c r="O22" i="16"/>
  <c r="P22" i="16" s="1"/>
  <c r="N22" i="16"/>
  <c r="R21" i="16"/>
  <c r="Q21" i="16"/>
  <c r="O21" i="16"/>
  <c r="P21" i="16" s="1"/>
  <c r="N21" i="16"/>
  <c r="R20" i="16"/>
  <c r="Q20" i="16"/>
  <c r="O20" i="16"/>
  <c r="P20" i="16" s="1"/>
  <c r="N20" i="16"/>
  <c r="R19" i="16"/>
  <c r="Q19" i="16"/>
  <c r="O19" i="16"/>
  <c r="P19" i="16" s="1"/>
  <c r="N19" i="16"/>
  <c r="R18" i="16"/>
  <c r="Q18" i="16"/>
  <c r="O18" i="16"/>
  <c r="P18" i="16" s="1"/>
  <c r="N18" i="16"/>
  <c r="R17" i="16"/>
  <c r="Q17" i="16"/>
  <c r="O17" i="16"/>
  <c r="P17" i="16" s="1"/>
  <c r="N17" i="16"/>
  <c r="R16" i="16"/>
  <c r="Q16" i="16"/>
  <c r="O16" i="16"/>
  <c r="P16" i="16" s="1"/>
  <c r="N16" i="16"/>
  <c r="R15" i="16"/>
  <c r="Q15" i="16"/>
  <c r="O15" i="16"/>
  <c r="P15" i="16" s="1"/>
  <c r="N15" i="16"/>
  <c r="R14" i="16"/>
  <c r="Q14" i="16"/>
  <c r="O14" i="16"/>
  <c r="P14" i="16" s="1"/>
  <c r="N14" i="16"/>
  <c r="R13" i="16"/>
  <c r="Q13" i="16"/>
  <c r="O13" i="16"/>
  <c r="P13" i="16" s="1"/>
  <c r="N13" i="16"/>
  <c r="R12" i="16"/>
  <c r="Q12" i="16"/>
  <c r="O12" i="16"/>
  <c r="P12" i="16" s="1"/>
  <c r="N12" i="16"/>
  <c r="R11" i="16"/>
  <c r="Q11" i="16"/>
  <c r="O11" i="16"/>
  <c r="P11" i="16" s="1"/>
  <c r="N11" i="16"/>
  <c r="R10" i="16"/>
  <c r="Q10" i="16"/>
  <c r="O10" i="16"/>
  <c r="P10" i="16" s="1"/>
  <c r="N10" i="16"/>
  <c r="R9" i="16"/>
  <c r="Q9" i="16"/>
  <c r="O9" i="16"/>
  <c r="P9" i="16" s="1"/>
  <c r="N9" i="16"/>
  <c r="R8" i="16"/>
  <c r="Q8" i="16"/>
  <c r="O8" i="16"/>
  <c r="P8" i="16" s="1"/>
  <c r="N8" i="16"/>
  <c r="R7" i="16"/>
  <c r="Q7" i="16"/>
  <c r="O7" i="16"/>
  <c r="P7" i="16" s="1"/>
  <c r="N7" i="16"/>
  <c r="R6" i="16"/>
  <c r="Q6" i="16"/>
  <c r="O6" i="16"/>
  <c r="P6" i="16" s="1"/>
  <c r="N6" i="16"/>
  <c r="R5" i="16"/>
  <c r="Q5" i="16"/>
  <c r="P5" i="16"/>
  <c r="O5" i="16"/>
  <c r="N5" i="16"/>
  <c r="R4" i="16"/>
  <c r="Q4" i="16"/>
  <c r="O4" i="16"/>
  <c r="P4" i="16" s="1"/>
  <c r="N4" i="16"/>
  <c r="R3" i="16"/>
  <c r="Q3" i="16"/>
  <c r="O3" i="16"/>
  <c r="P3" i="16" s="1"/>
  <c r="N3" i="16"/>
  <c r="D39" i="16" l="1"/>
  <c r="M33" i="16"/>
  <c r="L33" i="16"/>
  <c r="K33" i="16"/>
  <c r="J33" i="16"/>
  <c r="I33" i="16"/>
  <c r="H33" i="16"/>
  <c r="G33" i="16"/>
  <c r="F33" i="16"/>
  <c r="E33" i="16"/>
  <c r="D33" i="16"/>
  <c r="D35" i="16" s="1"/>
  <c r="Q33" i="16"/>
  <c r="R33" i="16"/>
  <c r="N33" i="16"/>
  <c r="P33" i="16" l="1"/>
  <c r="O33" i="16"/>
  <c r="N3" i="15" l="1"/>
  <c r="O3" i="15"/>
  <c r="P3" i="15" s="1"/>
  <c r="Q3" i="15"/>
  <c r="N4" i="15"/>
  <c r="O4" i="15"/>
  <c r="P4" i="15" s="1"/>
  <c r="Q4" i="15"/>
  <c r="N5" i="15"/>
  <c r="N34" i="15" s="1"/>
  <c r="O5" i="15"/>
  <c r="P5" i="15" s="1"/>
  <c r="Q5" i="15"/>
  <c r="N6" i="15"/>
  <c r="O6" i="15"/>
  <c r="P6" i="15" s="1"/>
  <c r="Q6" i="15"/>
  <c r="N7" i="15"/>
  <c r="O7" i="15"/>
  <c r="P7" i="15" s="1"/>
  <c r="Q7" i="15"/>
  <c r="N8" i="15"/>
  <c r="O8" i="15"/>
  <c r="P8" i="15" s="1"/>
  <c r="Q8" i="15"/>
  <c r="N9" i="15"/>
  <c r="O9" i="15"/>
  <c r="P9" i="15" s="1"/>
  <c r="Q9" i="15"/>
  <c r="N10" i="15"/>
  <c r="O10" i="15"/>
  <c r="P10" i="15" s="1"/>
  <c r="Q10" i="15"/>
  <c r="N11" i="15"/>
  <c r="O11" i="15"/>
  <c r="P11" i="15" s="1"/>
  <c r="Q11" i="15"/>
  <c r="N12" i="15"/>
  <c r="O12" i="15"/>
  <c r="P12" i="15" s="1"/>
  <c r="Q12" i="15"/>
  <c r="N13" i="15"/>
  <c r="O13" i="15"/>
  <c r="P13" i="15" s="1"/>
  <c r="Q13" i="15"/>
  <c r="N14" i="15"/>
  <c r="O14" i="15"/>
  <c r="P14" i="15" s="1"/>
  <c r="Q14" i="15"/>
  <c r="N15" i="15"/>
  <c r="O15" i="15"/>
  <c r="P15" i="15" s="1"/>
  <c r="Q15" i="15"/>
  <c r="N16" i="15"/>
  <c r="O16" i="15"/>
  <c r="P16" i="15" s="1"/>
  <c r="Q16" i="15"/>
  <c r="N17" i="15"/>
  <c r="O17" i="15"/>
  <c r="P17" i="15" s="1"/>
  <c r="Q17" i="15"/>
  <c r="N18" i="15"/>
  <c r="O18" i="15"/>
  <c r="P18" i="15" s="1"/>
  <c r="Q18" i="15"/>
  <c r="N19" i="15"/>
  <c r="O19" i="15"/>
  <c r="P19" i="15" s="1"/>
  <c r="Q19" i="15"/>
  <c r="N20" i="15"/>
  <c r="O20" i="15"/>
  <c r="P20" i="15" s="1"/>
  <c r="Q20" i="15"/>
  <c r="N21" i="15"/>
  <c r="O21" i="15"/>
  <c r="P21" i="15" s="1"/>
  <c r="Q21" i="15"/>
  <c r="N22" i="15"/>
  <c r="O22" i="15"/>
  <c r="P22" i="15" s="1"/>
  <c r="Q22" i="15"/>
  <c r="N23" i="15"/>
  <c r="O23" i="15"/>
  <c r="P23" i="15" s="1"/>
  <c r="Q23" i="15"/>
  <c r="N24" i="15"/>
  <c r="O24" i="15"/>
  <c r="P24" i="15" s="1"/>
  <c r="Q24" i="15"/>
  <c r="N25" i="15"/>
  <c r="O25" i="15"/>
  <c r="P25" i="15" s="1"/>
  <c r="Q25" i="15"/>
  <c r="N26" i="15"/>
  <c r="O26" i="15"/>
  <c r="P26" i="15" s="1"/>
  <c r="Q26" i="15"/>
  <c r="N27" i="15"/>
  <c r="O27" i="15"/>
  <c r="P27" i="15" s="1"/>
  <c r="Q27" i="15"/>
  <c r="N28" i="15"/>
  <c r="O28" i="15"/>
  <c r="P28" i="15" s="1"/>
  <c r="Q28" i="15"/>
  <c r="N29" i="15"/>
  <c r="O29" i="15"/>
  <c r="P29" i="15" s="1"/>
  <c r="Q29" i="15"/>
  <c r="N30" i="15"/>
  <c r="O30" i="15"/>
  <c r="P30" i="15" s="1"/>
  <c r="Q30" i="15"/>
  <c r="N31" i="15"/>
  <c r="O31" i="15"/>
  <c r="P31" i="15" s="1"/>
  <c r="Q31" i="15"/>
  <c r="N32" i="15"/>
  <c r="O32" i="15"/>
  <c r="P32" i="15" s="1"/>
  <c r="Q32" i="15"/>
  <c r="N33" i="15"/>
  <c r="O33" i="15"/>
  <c r="P33" i="15" s="1"/>
  <c r="Q33" i="15"/>
  <c r="D40" i="15"/>
  <c r="M34" i="15"/>
  <c r="L34" i="15"/>
  <c r="K34" i="15"/>
  <c r="J34" i="15"/>
  <c r="I34" i="15"/>
  <c r="H34" i="15"/>
  <c r="G34" i="15"/>
  <c r="F34" i="15"/>
  <c r="E34" i="15"/>
  <c r="D34" i="15"/>
  <c r="D36" i="15" s="1"/>
  <c r="R33" i="15"/>
  <c r="R32" i="15"/>
  <c r="R31" i="15"/>
  <c r="R30" i="15"/>
  <c r="R29" i="15"/>
  <c r="R28" i="15"/>
  <c r="R27" i="15"/>
  <c r="R26" i="15"/>
  <c r="R25" i="15"/>
  <c r="R24" i="15"/>
  <c r="R23" i="15"/>
  <c r="R22" i="15"/>
  <c r="R21" i="15"/>
  <c r="R20" i="15"/>
  <c r="R19" i="15"/>
  <c r="R18" i="15"/>
  <c r="R17" i="15"/>
  <c r="R16" i="15"/>
  <c r="R15" i="15"/>
  <c r="R14" i="15"/>
  <c r="R13" i="15"/>
  <c r="R12" i="15"/>
  <c r="R11" i="15"/>
  <c r="R10" i="15"/>
  <c r="R9" i="15"/>
  <c r="R8" i="15"/>
  <c r="R7" i="15"/>
  <c r="R6" i="15"/>
  <c r="R5" i="15"/>
  <c r="R4" i="15"/>
  <c r="R3" i="15"/>
  <c r="O34" i="15"/>
  <c r="R34" i="15" l="1"/>
  <c r="Q34" i="15"/>
  <c r="P34" i="15"/>
  <c r="D34" i="6"/>
  <c r="L30" i="4"/>
  <c r="D40" i="14" l="1"/>
  <c r="M34" i="14"/>
  <c r="L34" i="14"/>
  <c r="K34" i="14"/>
  <c r="J34" i="14"/>
  <c r="I34" i="14"/>
  <c r="H34" i="14"/>
  <c r="G34" i="14"/>
  <c r="F34" i="14"/>
  <c r="E34" i="14"/>
  <c r="D34" i="14"/>
  <c r="D36" i="14" s="1"/>
  <c r="R33" i="14"/>
  <c r="Q33" i="14"/>
  <c r="O33" i="14"/>
  <c r="P33" i="14" s="1"/>
  <c r="N33" i="14"/>
  <c r="R32" i="14"/>
  <c r="Q32" i="14"/>
  <c r="O32" i="14"/>
  <c r="P32" i="14" s="1"/>
  <c r="N32" i="14"/>
  <c r="R31" i="14"/>
  <c r="Q31" i="14"/>
  <c r="O31" i="14"/>
  <c r="P31" i="14" s="1"/>
  <c r="N31" i="14"/>
  <c r="R30" i="14"/>
  <c r="Q30" i="14"/>
  <c r="O30" i="14"/>
  <c r="P30" i="14" s="1"/>
  <c r="N30" i="14"/>
  <c r="R29" i="14"/>
  <c r="Q29" i="14"/>
  <c r="O29" i="14"/>
  <c r="P29" i="14" s="1"/>
  <c r="N29" i="14"/>
  <c r="R28" i="14"/>
  <c r="Q28" i="14"/>
  <c r="O28" i="14"/>
  <c r="P28" i="14" s="1"/>
  <c r="N28" i="14"/>
  <c r="R27" i="14"/>
  <c r="Q27" i="14"/>
  <c r="O27" i="14"/>
  <c r="P27" i="14" s="1"/>
  <c r="N27" i="14"/>
  <c r="R26" i="14"/>
  <c r="Q26" i="14"/>
  <c r="O26" i="14"/>
  <c r="P26" i="14" s="1"/>
  <c r="N26" i="14"/>
  <c r="R25" i="14"/>
  <c r="Q25" i="14"/>
  <c r="O25" i="14"/>
  <c r="P25" i="14" s="1"/>
  <c r="N25" i="14"/>
  <c r="R24" i="14"/>
  <c r="Q24" i="14"/>
  <c r="O24" i="14"/>
  <c r="P24" i="14" s="1"/>
  <c r="N24" i="14"/>
  <c r="R23" i="14"/>
  <c r="Q23" i="14"/>
  <c r="O23" i="14"/>
  <c r="P23" i="14" s="1"/>
  <c r="N23" i="14"/>
  <c r="R22" i="14"/>
  <c r="Q22" i="14"/>
  <c r="O22" i="14"/>
  <c r="P22" i="14" s="1"/>
  <c r="N22" i="14"/>
  <c r="R21" i="14"/>
  <c r="Q21" i="14"/>
  <c r="O21" i="14"/>
  <c r="P21" i="14" s="1"/>
  <c r="N21" i="14"/>
  <c r="R20" i="14"/>
  <c r="Q20" i="14"/>
  <c r="O20" i="14"/>
  <c r="P20" i="14" s="1"/>
  <c r="N20" i="14"/>
  <c r="R19" i="14"/>
  <c r="Q19" i="14"/>
  <c r="O19" i="14"/>
  <c r="P19" i="14" s="1"/>
  <c r="N19" i="14"/>
  <c r="R18" i="14"/>
  <c r="Q18" i="14"/>
  <c r="O18" i="14"/>
  <c r="P18" i="14" s="1"/>
  <c r="N18" i="14"/>
  <c r="R17" i="14"/>
  <c r="Q17" i="14"/>
  <c r="P17" i="14"/>
  <c r="O17" i="14"/>
  <c r="N17" i="14"/>
  <c r="R16" i="14"/>
  <c r="Q16" i="14"/>
  <c r="O16" i="14"/>
  <c r="P16" i="14" s="1"/>
  <c r="N16" i="14"/>
  <c r="R15" i="14"/>
  <c r="Q15" i="14"/>
  <c r="O15" i="14"/>
  <c r="P15" i="14" s="1"/>
  <c r="N15" i="14"/>
  <c r="R14" i="14"/>
  <c r="Q14" i="14"/>
  <c r="O14" i="14"/>
  <c r="P14" i="14" s="1"/>
  <c r="N14" i="14"/>
  <c r="R13" i="14"/>
  <c r="Q13" i="14"/>
  <c r="O13" i="14"/>
  <c r="P13" i="14" s="1"/>
  <c r="N13" i="14"/>
  <c r="R12" i="14"/>
  <c r="Q12" i="14"/>
  <c r="O12" i="14"/>
  <c r="P12" i="14" s="1"/>
  <c r="N12" i="14"/>
  <c r="R11" i="14"/>
  <c r="Q11" i="14"/>
  <c r="O11" i="14"/>
  <c r="P11" i="14" s="1"/>
  <c r="N11" i="14"/>
  <c r="R10" i="14"/>
  <c r="Q10" i="14"/>
  <c r="O10" i="14"/>
  <c r="P10" i="14" s="1"/>
  <c r="N10" i="14"/>
  <c r="R9" i="14"/>
  <c r="Q9" i="14"/>
  <c r="O9" i="14"/>
  <c r="P9" i="14" s="1"/>
  <c r="N9" i="14"/>
  <c r="R8" i="14"/>
  <c r="Q8" i="14"/>
  <c r="O8" i="14"/>
  <c r="P8" i="14" s="1"/>
  <c r="N8" i="14"/>
  <c r="R7" i="14"/>
  <c r="Q7" i="14"/>
  <c r="O7" i="14"/>
  <c r="P7" i="14" s="1"/>
  <c r="N7" i="14"/>
  <c r="R6" i="14"/>
  <c r="Q6" i="14"/>
  <c r="O6" i="14"/>
  <c r="P6" i="14" s="1"/>
  <c r="N6" i="14"/>
  <c r="R5" i="14"/>
  <c r="Q5" i="14"/>
  <c r="O5" i="14"/>
  <c r="P5" i="14" s="1"/>
  <c r="N5" i="14"/>
  <c r="R4" i="14"/>
  <c r="Q4" i="14"/>
  <c r="O4" i="14"/>
  <c r="P4" i="14" s="1"/>
  <c r="N4" i="14"/>
  <c r="R3" i="14"/>
  <c r="R34" i="14" s="1"/>
  <c r="Q3" i="14"/>
  <c r="O3" i="14"/>
  <c r="P3" i="14" s="1"/>
  <c r="N3" i="14"/>
  <c r="N34" i="14" l="1"/>
  <c r="Q34" i="14"/>
  <c r="P34" i="14"/>
  <c r="O34" i="14"/>
  <c r="D39" i="13"/>
  <c r="M33" i="13"/>
  <c r="L33" i="13"/>
  <c r="K33" i="13"/>
  <c r="J33" i="13"/>
  <c r="I33" i="13"/>
  <c r="H33" i="13"/>
  <c r="G33" i="13"/>
  <c r="F33" i="13"/>
  <c r="E33" i="13"/>
  <c r="D33" i="13"/>
  <c r="D35" i="13" s="1"/>
  <c r="R32" i="13"/>
  <c r="Q32" i="13"/>
  <c r="O32" i="13"/>
  <c r="P32" i="13" s="1"/>
  <c r="N32" i="13"/>
  <c r="R31" i="13"/>
  <c r="Q31" i="13"/>
  <c r="O31" i="13"/>
  <c r="P31" i="13" s="1"/>
  <c r="N31" i="13"/>
  <c r="R30" i="13"/>
  <c r="Q30" i="13"/>
  <c r="O30" i="13"/>
  <c r="P30" i="13" s="1"/>
  <c r="N30" i="13"/>
  <c r="R29" i="13"/>
  <c r="Q29" i="13"/>
  <c r="O29" i="13"/>
  <c r="P29" i="13" s="1"/>
  <c r="N29" i="13"/>
  <c r="R28" i="13"/>
  <c r="Q28" i="13"/>
  <c r="O28" i="13"/>
  <c r="P28" i="13" s="1"/>
  <c r="N28" i="13"/>
  <c r="R27" i="13"/>
  <c r="Q27" i="13"/>
  <c r="O27" i="13"/>
  <c r="P27" i="13" s="1"/>
  <c r="N27" i="13"/>
  <c r="R26" i="13"/>
  <c r="Q26" i="13"/>
  <c r="O26" i="13"/>
  <c r="P26" i="13" s="1"/>
  <c r="N26" i="13"/>
  <c r="R25" i="13"/>
  <c r="Q25" i="13"/>
  <c r="O25" i="13"/>
  <c r="P25" i="13" s="1"/>
  <c r="N25" i="13"/>
  <c r="R24" i="13"/>
  <c r="Q24" i="13"/>
  <c r="O24" i="13"/>
  <c r="P24" i="13" s="1"/>
  <c r="N24" i="13"/>
  <c r="R23" i="13"/>
  <c r="Q23" i="13"/>
  <c r="O23" i="13"/>
  <c r="P23" i="13" s="1"/>
  <c r="N23" i="13"/>
  <c r="R22" i="13"/>
  <c r="Q22" i="13"/>
  <c r="O22" i="13"/>
  <c r="P22" i="13" s="1"/>
  <c r="N22" i="13"/>
  <c r="R21" i="13"/>
  <c r="Q21" i="13"/>
  <c r="O21" i="13"/>
  <c r="P21" i="13" s="1"/>
  <c r="N21" i="13"/>
  <c r="R20" i="13"/>
  <c r="Q20" i="13"/>
  <c r="O20" i="13"/>
  <c r="P20" i="13" s="1"/>
  <c r="N20" i="13"/>
  <c r="R19" i="13"/>
  <c r="Q19" i="13"/>
  <c r="P19" i="13"/>
  <c r="O19" i="13"/>
  <c r="N19" i="13"/>
  <c r="R18" i="13"/>
  <c r="Q18" i="13"/>
  <c r="O18" i="13"/>
  <c r="P18" i="13" s="1"/>
  <c r="N18" i="13"/>
  <c r="R17" i="13"/>
  <c r="Q17" i="13"/>
  <c r="O17" i="13"/>
  <c r="P17" i="13" s="1"/>
  <c r="N17" i="13"/>
  <c r="R16" i="13"/>
  <c r="Q16" i="13"/>
  <c r="O16" i="13"/>
  <c r="P16" i="13" s="1"/>
  <c r="N16" i="13"/>
  <c r="R15" i="13"/>
  <c r="Q15" i="13"/>
  <c r="O15" i="13"/>
  <c r="P15" i="13" s="1"/>
  <c r="N15" i="13"/>
  <c r="R14" i="13"/>
  <c r="Q14" i="13"/>
  <c r="O14" i="13"/>
  <c r="P14" i="13" s="1"/>
  <c r="N14" i="13"/>
  <c r="R13" i="13"/>
  <c r="Q13" i="13"/>
  <c r="O13" i="13"/>
  <c r="P13" i="13" s="1"/>
  <c r="N13" i="13"/>
  <c r="R12" i="13"/>
  <c r="Q12" i="13"/>
  <c r="O12" i="13"/>
  <c r="P12" i="13" s="1"/>
  <c r="N12" i="13"/>
  <c r="R11" i="13"/>
  <c r="Q11" i="13"/>
  <c r="O11" i="13"/>
  <c r="P11" i="13" s="1"/>
  <c r="N11" i="13"/>
  <c r="R10" i="13"/>
  <c r="Q10" i="13"/>
  <c r="O10" i="13"/>
  <c r="P10" i="13" s="1"/>
  <c r="N10" i="13"/>
  <c r="R9" i="13"/>
  <c r="Q9" i="13"/>
  <c r="O9" i="13"/>
  <c r="P9" i="13" s="1"/>
  <c r="N9" i="13"/>
  <c r="R8" i="13"/>
  <c r="Q8" i="13"/>
  <c r="O8" i="13"/>
  <c r="P8" i="13" s="1"/>
  <c r="N8" i="13"/>
  <c r="R7" i="13"/>
  <c r="Q7" i="13"/>
  <c r="O7" i="13"/>
  <c r="P7" i="13" s="1"/>
  <c r="N7" i="13"/>
  <c r="R6" i="13"/>
  <c r="Q6" i="13"/>
  <c r="O6" i="13"/>
  <c r="P6" i="13" s="1"/>
  <c r="N6" i="13"/>
  <c r="R5" i="13"/>
  <c r="Q5" i="13"/>
  <c r="O5" i="13"/>
  <c r="P5" i="13" s="1"/>
  <c r="N5" i="13"/>
  <c r="R4" i="13"/>
  <c r="Q4" i="13"/>
  <c r="O4" i="13"/>
  <c r="P4" i="13" s="1"/>
  <c r="N4" i="13"/>
  <c r="R3" i="13"/>
  <c r="Q3" i="13"/>
  <c r="O3" i="13"/>
  <c r="P3" i="13" s="1"/>
  <c r="N3" i="13"/>
  <c r="R33" i="13" l="1"/>
  <c r="N33" i="13"/>
  <c r="Q33" i="13"/>
  <c r="P33" i="13"/>
  <c r="O33" i="13"/>
  <c r="N3" i="10"/>
  <c r="Q4" i="10" l="1"/>
  <c r="R4" i="10"/>
  <c r="N31" i="10" l="1"/>
  <c r="N18" i="10" l="1"/>
  <c r="O18" i="10"/>
  <c r="P18" i="10"/>
  <c r="D40" i="10" l="1"/>
  <c r="M34" i="10"/>
  <c r="L34" i="10"/>
  <c r="K34" i="10"/>
  <c r="J34" i="10"/>
  <c r="I34" i="10"/>
  <c r="H34" i="10"/>
  <c r="G34" i="10"/>
  <c r="F34" i="10"/>
  <c r="E34" i="10"/>
  <c r="D34" i="10"/>
  <c r="D36" i="10" s="1"/>
  <c r="R33" i="10"/>
  <c r="Q33" i="10"/>
  <c r="O33" i="10"/>
  <c r="P33" i="10" s="1"/>
  <c r="N33" i="10"/>
  <c r="R32" i="10"/>
  <c r="Q32" i="10"/>
  <c r="O32" i="10"/>
  <c r="P32" i="10" s="1"/>
  <c r="N32" i="10"/>
  <c r="R31" i="10"/>
  <c r="Q31" i="10"/>
  <c r="O31" i="10"/>
  <c r="P31" i="10" s="1"/>
  <c r="R30" i="10"/>
  <c r="Q30" i="10"/>
  <c r="O30" i="10"/>
  <c r="P30" i="10" s="1"/>
  <c r="N30" i="10"/>
  <c r="R29" i="10"/>
  <c r="Q29" i="10"/>
  <c r="O29" i="10"/>
  <c r="P29" i="10" s="1"/>
  <c r="N29" i="10"/>
  <c r="R28" i="10"/>
  <c r="Q28" i="10"/>
  <c r="O28" i="10"/>
  <c r="P28" i="10" s="1"/>
  <c r="N28" i="10"/>
  <c r="R27" i="10"/>
  <c r="Q27" i="10"/>
  <c r="O27" i="10"/>
  <c r="P27" i="10" s="1"/>
  <c r="N27" i="10"/>
  <c r="R26" i="10"/>
  <c r="Q26" i="10"/>
  <c r="O26" i="10"/>
  <c r="P26" i="10" s="1"/>
  <c r="N26" i="10"/>
  <c r="R25" i="10"/>
  <c r="Q25" i="10"/>
  <c r="O25" i="10"/>
  <c r="P25" i="10" s="1"/>
  <c r="N25" i="10"/>
  <c r="R24" i="10"/>
  <c r="Q24" i="10"/>
  <c r="O24" i="10"/>
  <c r="P24" i="10" s="1"/>
  <c r="N24" i="10"/>
  <c r="R23" i="10"/>
  <c r="Q23" i="10"/>
  <c r="O23" i="10"/>
  <c r="P23" i="10" s="1"/>
  <c r="N23" i="10"/>
  <c r="R22" i="10"/>
  <c r="Q22" i="10"/>
  <c r="O22" i="10"/>
  <c r="P22" i="10" s="1"/>
  <c r="N22" i="10"/>
  <c r="R21" i="10"/>
  <c r="Q21" i="10"/>
  <c r="O21" i="10"/>
  <c r="P21" i="10" s="1"/>
  <c r="N21" i="10"/>
  <c r="R20" i="10"/>
  <c r="Q20" i="10"/>
  <c r="O20" i="10"/>
  <c r="P20" i="10" s="1"/>
  <c r="N20" i="10"/>
  <c r="R19" i="10"/>
  <c r="Q19" i="10"/>
  <c r="O19" i="10"/>
  <c r="P19" i="10" s="1"/>
  <c r="N19" i="10"/>
  <c r="R18" i="10"/>
  <c r="Q18" i="10"/>
  <c r="R17" i="10"/>
  <c r="Q17" i="10"/>
  <c r="O17" i="10"/>
  <c r="P17" i="10" s="1"/>
  <c r="N17" i="10"/>
  <c r="R16" i="10"/>
  <c r="Q16" i="10"/>
  <c r="O16" i="10"/>
  <c r="P16" i="10" s="1"/>
  <c r="N16" i="10"/>
  <c r="R15" i="10"/>
  <c r="Q15" i="10"/>
  <c r="O15" i="10"/>
  <c r="P15" i="10" s="1"/>
  <c r="N15" i="10"/>
  <c r="R14" i="10"/>
  <c r="Q14" i="10"/>
  <c r="O14" i="10"/>
  <c r="P14" i="10" s="1"/>
  <c r="N14" i="10"/>
  <c r="R13" i="10"/>
  <c r="Q13" i="10"/>
  <c r="O13" i="10"/>
  <c r="P13" i="10" s="1"/>
  <c r="N13" i="10"/>
  <c r="R12" i="10"/>
  <c r="Q12" i="10"/>
  <c r="O12" i="10"/>
  <c r="P12" i="10" s="1"/>
  <c r="N12" i="10"/>
  <c r="R11" i="10"/>
  <c r="Q11" i="10"/>
  <c r="O11" i="10"/>
  <c r="P11" i="10" s="1"/>
  <c r="N11" i="10"/>
  <c r="R10" i="10"/>
  <c r="Q10" i="10"/>
  <c r="O10" i="10"/>
  <c r="P10" i="10" s="1"/>
  <c r="N10" i="10"/>
  <c r="R9" i="10"/>
  <c r="Q9" i="10"/>
  <c r="O9" i="10"/>
  <c r="P9" i="10" s="1"/>
  <c r="N9" i="10"/>
  <c r="R8" i="10"/>
  <c r="Q8" i="10"/>
  <c r="O8" i="10"/>
  <c r="P8" i="10" s="1"/>
  <c r="N8" i="10"/>
  <c r="R7" i="10"/>
  <c r="Q7" i="10"/>
  <c r="O7" i="10"/>
  <c r="P7" i="10" s="1"/>
  <c r="N7" i="10"/>
  <c r="R6" i="10"/>
  <c r="Q6" i="10"/>
  <c r="O6" i="10"/>
  <c r="P6" i="10" s="1"/>
  <c r="N6" i="10"/>
  <c r="R5" i="10"/>
  <c r="Q5" i="10"/>
  <c r="O5" i="10"/>
  <c r="P5" i="10" s="1"/>
  <c r="N5" i="10"/>
  <c r="O4" i="10"/>
  <c r="P4" i="10" s="1"/>
  <c r="N4" i="10"/>
  <c r="R3" i="10"/>
  <c r="Q3" i="10"/>
  <c r="O3" i="10"/>
  <c r="P3" i="10" s="1"/>
  <c r="R34" i="10" l="1"/>
  <c r="Q34" i="10"/>
  <c r="N34" i="10"/>
  <c r="P34" i="10"/>
  <c r="O34" i="10"/>
  <c r="N15" i="8" l="1"/>
  <c r="N11" i="8"/>
  <c r="N7" i="8" l="1"/>
  <c r="O7" i="8"/>
  <c r="P7" i="8" s="1"/>
  <c r="D40" i="8"/>
  <c r="M34" i="8"/>
  <c r="L34" i="8"/>
  <c r="K34" i="8"/>
  <c r="J34" i="8"/>
  <c r="I34" i="8"/>
  <c r="H34" i="8"/>
  <c r="G34" i="8"/>
  <c r="F34" i="8"/>
  <c r="E34" i="8"/>
  <c r="D34" i="8"/>
  <c r="R33" i="8"/>
  <c r="Q33" i="8"/>
  <c r="O33" i="8"/>
  <c r="P33" i="8" s="1"/>
  <c r="N33" i="8"/>
  <c r="R32" i="8"/>
  <c r="Q32" i="8"/>
  <c r="O32" i="8"/>
  <c r="P32" i="8" s="1"/>
  <c r="N32" i="8"/>
  <c r="R31" i="8"/>
  <c r="Q31" i="8"/>
  <c r="O31" i="8"/>
  <c r="P31" i="8" s="1"/>
  <c r="N31" i="8"/>
  <c r="R30" i="8"/>
  <c r="Q30" i="8"/>
  <c r="O30" i="8"/>
  <c r="P30" i="8" s="1"/>
  <c r="N30" i="8"/>
  <c r="R29" i="8"/>
  <c r="Q29" i="8"/>
  <c r="O29" i="8"/>
  <c r="P29" i="8" s="1"/>
  <c r="N29" i="8"/>
  <c r="R28" i="8"/>
  <c r="Q28" i="8"/>
  <c r="O28" i="8"/>
  <c r="P28" i="8" s="1"/>
  <c r="N28" i="8"/>
  <c r="R27" i="8"/>
  <c r="Q27" i="8"/>
  <c r="O27" i="8"/>
  <c r="P27" i="8" s="1"/>
  <c r="N27" i="8"/>
  <c r="R26" i="8"/>
  <c r="Q26" i="8"/>
  <c r="O26" i="8"/>
  <c r="P26" i="8" s="1"/>
  <c r="N26" i="8"/>
  <c r="R25" i="8"/>
  <c r="Q25" i="8"/>
  <c r="O25" i="8"/>
  <c r="P25" i="8" s="1"/>
  <c r="N25" i="8"/>
  <c r="R24" i="8"/>
  <c r="Q24" i="8"/>
  <c r="O24" i="8"/>
  <c r="P24" i="8" s="1"/>
  <c r="N24" i="8"/>
  <c r="R23" i="8"/>
  <c r="Q23" i="8"/>
  <c r="O23" i="8"/>
  <c r="P23" i="8" s="1"/>
  <c r="N23" i="8"/>
  <c r="R22" i="8"/>
  <c r="Q22" i="8"/>
  <c r="O22" i="8"/>
  <c r="P22" i="8" s="1"/>
  <c r="N22" i="8"/>
  <c r="R21" i="8"/>
  <c r="Q21" i="8"/>
  <c r="O21" i="8"/>
  <c r="P21" i="8" s="1"/>
  <c r="N21" i="8"/>
  <c r="R20" i="8"/>
  <c r="Q20" i="8"/>
  <c r="O20" i="8"/>
  <c r="P20" i="8" s="1"/>
  <c r="N20" i="8"/>
  <c r="R19" i="8"/>
  <c r="Q19" i="8"/>
  <c r="O19" i="8"/>
  <c r="P19" i="8" s="1"/>
  <c r="N19" i="8"/>
  <c r="R18" i="8"/>
  <c r="Q18" i="8"/>
  <c r="O18" i="8"/>
  <c r="P18" i="8" s="1"/>
  <c r="N18" i="8"/>
  <c r="R17" i="8"/>
  <c r="Q17" i="8"/>
  <c r="O17" i="8"/>
  <c r="P17" i="8" s="1"/>
  <c r="N17" i="8"/>
  <c r="R16" i="8"/>
  <c r="Q16" i="8"/>
  <c r="O16" i="8"/>
  <c r="P16" i="8" s="1"/>
  <c r="N16" i="8"/>
  <c r="R15" i="8"/>
  <c r="Q15" i="8"/>
  <c r="O15" i="8"/>
  <c r="P15" i="8" s="1"/>
  <c r="R14" i="8"/>
  <c r="Q14" i="8"/>
  <c r="O14" i="8"/>
  <c r="P14" i="8" s="1"/>
  <c r="N14" i="8"/>
  <c r="R13" i="8"/>
  <c r="Q13" i="8"/>
  <c r="O13" i="8"/>
  <c r="P13" i="8" s="1"/>
  <c r="N13" i="8"/>
  <c r="R12" i="8"/>
  <c r="Q12" i="8"/>
  <c r="O12" i="8"/>
  <c r="P12" i="8" s="1"/>
  <c r="N12" i="8"/>
  <c r="R11" i="8"/>
  <c r="Q11" i="8"/>
  <c r="O11" i="8"/>
  <c r="P11" i="8" s="1"/>
  <c r="R10" i="8"/>
  <c r="Q10" i="8"/>
  <c r="O10" i="8"/>
  <c r="P10" i="8" s="1"/>
  <c r="N10" i="8"/>
  <c r="R9" i="8"/>
  <c r="Q9" i="8"/>
  <c r="O9" i="8"/>
  <c r="P9" i="8" s="1"/>
  <c r="N9" i="8"/>
  <c r="R8" i="8"/>
  <c r="Q8" i="8"/>
  <c r="O8" i="8"/>
  <c r="P8" i="8" s="1"/>
  <c r="N8" i="8"/>
  <c r="R7" i="8"/>
  <c r="Q7" i="8"/>
  <c r="R6" i="8"/>
  <c r="Q6" i="8"/>
  <c r="O6" i="8"/>
  <c r="P6" i="8" s="1"/>
  <c r="N6" i="8"/>
  <c r="R5" i="8"/>
  <c r="Q5" i="8"/>
  <c r="O5" i="8"/>
  <c r="P5" i="8" s="1"/>
  <c r="N5" i="8"/>
  <c r="R4" i="8"/>
  <c r="Q4" i="8"/>
  <c r="O4" i="8"/>
  <c r="P4" i="8" s="1"/>
  <c r="N4" i="8"/>
  <c r="R3" i="8"/>
  <c r="Q3" i="8"/>
  <c r="O3" i="8"/>
  <c r="P3" i="8" s="1"/>
  <c r="N3" i="8"/>
  <c r="R34" i="8" l="1"/>
  <c r="Q34" i="8"/>
  <c r="N34" i="8"/>
  <c r="P34" i="8"/>
  <c r="O34" i="8"/>
  <c r="D36" i="8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" i="7"/>
  <c r="E34" i="7" l="1"/>
  <c r="S4" i="7"/>
  <c r="S5" i="7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" i="7"/>
  <c r="R34" i="7" s="1"/>
  <c r="S3" i="7"/>
  <c r="Q4" i="6" l="1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" i="6"/>
  <c r="P30" i="7"/>
  <c r="Q30" i="7"/>
  <c r="Q4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P29" i="7"/>
  <c r="Q29" i="7"/>
  <c r="Q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3" i="7"/>
  <c r="Q34" i="7" l="1"/>
  <c r="D40" i="7"/>
  <c r="M34" i="7"/>
  <c r="L34" i="7"/>
  <c r="K34" i="7"/>
  <c r="J34" i="7"/>
  <c r="I34" i="7"/>
  <c r="H34" i="7"/>
  <c r="G34" i="7"/>
  <c r="F34" i="7"/>
  <c r="D34" i="7"/>
  <c r="D36" i="7" s="1"/>
  <c r="Q33" i="7"/>
  <c r="P33" i="7"/>
  <c r="Q32" i="7"/>
  <c r="P32" i="7"/>
  <c r="Q31" i="7"/>
  <c r="P31" i="7"/>
  <c r="S34" i="7" l="1"/>
  <c r="N34" i="7"/>
  <c r="O34" i="7"/>
  <c r="P34" i="7"/>
  <c r="D47" i="5"/>
  <c r="D46" i="5"/>
  <c r="D36" i="6"/>
  <c r="L34" i="6" l="1"/>
  <c r="K34" i="6"/>
  <c r="H34" i="6"/>
  <c r="H40" i="1" l="1"/>
  <c r="J43" i="4"/>
  <c r="J42" i="4"/>
  <c r="J41" i="4"/>
  <c r="D40" i="6" l="1"/>
  <c r="J34" i="6"/>
  <c r="I34" i="6"/>
  <c r="G34" i="6"/>
  <c r="F34" i="6"/>
  <c r="F36" i="6" s="1"/>
  <c r="E34" i="6"/>
  <c r="P33" i="6"/>
  <c r="O33" i="6"/>
  <c r="N33" i="6"/>
  <c r="M33" i="6"/>
  <c r="P32" i="6"/>
  <c r="N32" i="6"/>
  <c r="O32" i="6" s="1"/>
  <c r="M32" i="6"/>
  <c r="P31" i="6"/>
  <c r="O31" i="6"/>
  <c r="N31" i="6"/>
  <c r="M31" i="6"/>
  <c r="P30" i="6"/>
  <c r="N30" i="6"/>
  <c r="O30" i="6" s="1"/>
  <c r="M30" i="6"/>
  <c r="P29" i="6"/>
  <c r="N29" i="6"/>
  <c r="O29" i="6" s="1"/>
  <c r="M29" i="6"/>
  <c r="P28" i="6"/>
  <c r="N28" i="6"/>
  <c r="O28" i="6" s="1"/>
  <c r="M28" i="6"/>
  <c r="P27" i="6"/>
  <c r="N27" i="6"/>
  <c r="O27" i="6" s="1"/>
  <c r="M27" i="6"/>
  <c r="P26" i="6"/>
  <c r="N26" i="6"/>
  <c r="O26" i="6" s="1"/>
  <c r="M26" i="6"/>
  <c r="P25" i="6"/>
  <c r="N25" i="6"/>
  <c r="O25" i="6" s="1"/>
  <c r="M25" i="6"/>
  <c r="P24" i="6"/>
  <c r="N24" i="6"/>
  <c r="O24" i="6" s="1"/>
  <c r="M24" i="6"/>
  <c r="P23" i="6"/>
  <c r="N23" i="6"/>
  <c r="O23" i="6" s="1"/>
  <c r="M23" i="6"/>
  <c r="P22" i="6"/>
  <c r="N22" i="6"/>
  <c r="O22" i="6" s="1"/>
  <c r="M22" i="6"/>
  <c r="P21" i="6"/>
  <c r="N21" i="6"/>
  <c r="O21" i="6" s="1"/>
  <c r="M21" i="6"/>
  <c r="P20" i="6"/>
  <c r="N20" i="6"/>
  <c r="O20" i="6" s="1"/>
  <c r="M20" i="6"/>
  <c r="P19" i="6"/>
  <c r="N19" i="6"/>
  <c r="O19" i="6" s="1"/>
  <c r="M19" i="6"/>
  <c r="P18" i="6"/>
  <c r="N18" i="6"/>
  <c r="O18" i="6" s="1"/>
  <c r="M18" i="6"/>
  <c r="P17" i="6"/>
  <c r="N17" i="6"/>
  <c r="O17" i="6" s="1"/>
  <c r="M17" i="6"/>
  <c r="P16" i="6"/>
  <c r="N16" i="6"/>
  <c r="O16" i="6" s="1"/>
  <c r="M16" i="6"/>
  <c r="P15" i="6"/>
  <c r="N15" i="6"/>
  <c r="O15" i="6" s="1"/>
  <c r="M15" i="6"/>
  <c r="P14" i="6"/>
  <c r="N14" i="6"/>
  <c r="O14" i="6" s="1"/>
  <c r="M14" i="6"/>
  <c r="P13" i="6"/>
  <c r="N13" i="6"/>
  <c r="O13" i="6" s="1"/>
  <c r="M13" i="6"/>
  <c r="P12" i="6"/>
  <c r="N12" i="6"/>
  <c r="O12" i="6" s="1"/>
  <c r="M12" i="6"/>
  <c r="P11" i="6"/>
  <c r="N11" i="6"/>
  <c r="O11" i="6" s="1"/>
  <c r="M11" i="6"/>
  <c r="P10" i="6"/>
  <c r="N10" i="6"/>
  <c r="O10" i="6" s="1"/>
  <c r="M10" i="6"/>
  <c r="P9" i="6"/>
  <c r="N9" i="6"/>
  <c r="O9" i="6" s="1"/>
  <c r="M9" i="6"/>
  <c r="P8" i="6"/>
  <c r="N8" i="6"/>
  <c r="O8" i="6" s="1"/>
  <c r="M8" i="6"/>
  <c r="P7" i="6"/>
  <c r="N7" i="6"/>
  <c r="O7" i="6" s="1"/>
  <c r="M7" i="6"/>
  <c r="P6" i="6"/>
  <c r="N6" i="6"/>
  <c r="O6" i="6" s="1"/>
  <c r="M6" i="6"/>
  <c r="P5" i="6"/>
  <c r="N5" i="6"/>
  <c r="O5" i="6" s="1"/>
  <c r="M5" i="6"/>
  <c r="P4" i="6"/>
  <c r="N4" i="6"/>
  <c r="O4" i="6" s="1"/>
  <c r="M4" i="6"/>
  <c r="P3" i="6"/>
  <c r="N3" i="6"/>
  <c r="M3" i="6"/>
  <c r="P34" i="6" l="1"/>
  <c r="F42" i="6"/>
  <c r="E36" i="6"/>
  <c r="G36" i="6" s="1"/>
  <c r="N34" i="6"/>
  <c r="M34" i="6"/>
  <c r="O3" i="6"/>
  <c r="O34" i="6" s="1"/>
  <c r="D40" i="5"/>
  <c r="J34" i="5"/>
  <c r="I34" i="5"/>
  <c r="H34" i="5"/>
  <c r="G34" i="5"/>
  <c r="F34" i="5"/>
  <c r="F36" i="5" s="1"/>
  <c r="E34" i="5"/>
  <c r="E36" i="5" s="1"/>
  <c r="D34" i="5"/>
  <c r="D36" i="5" s="1"/>
  <c r="N33" i="5"/>
  <c r="L33" i="5"/>
  <c r="M33" i="5" s="1"/>
  <c r="K33" i="5"/>
  <c r="N32" i="5"/>
  <c r="L32" i="5"/>
  <c r="M32" i="5" s="1"/>
  <c r="K32" i="5"/>
  <c r="N31" i="5"/>
  <c r="L31" i="5"/>
  <c r="M31" i="5" s="1"/>
  <c r="K31" i="5"/>
  <c r="N30" i="5"/>
  <c r="L30" i="5"/>
  <c r="M30" i="5" s="1"/>
  <c r="K30" i="5"/>
  <c r="N29" i="5"/>
  <c r="L29" i="5"/>
  <c r="M29" i="5" s="1"/>
  <c r="K29" i="5"/>
  <c r="N28" i="5"/>
  <c r="L28" i="5"/>
  <c r="M28" i="5" s="1"/>
  <c r="K28" i="5"/>
  <c r="N27" i="5"/>
  <c r="L27" i="5"/>
  <c r="M27" i="5" s="1"/>
  <c r="K27" i="5"/>
  <c r="N26" i="5"/>
  <c r="L26" i="5"/>
  <c r="M26" i="5" s="1"/>
  <c r="K26" i="5"/>
  <c r="N25" i="5"/>
  <c r="L25" i="5"/>
  <c r="M25" i="5" s="1"/>
  <c r="K25" i="5"/>
  <c r="N24" i="5"/>
  <c r="L24" i="5"/>
  <c r="M24" i="5" s="1"/>
  <c r="K24" i="5"/>
  <c r="N23" i="5"/>
  <c r="L23" i="5"/>
  <c r="M23" i="5" s="1"/>
  <c r="K23" i="5"/>
  <c r="N22" i="5"/>
  <c r="L22" i="5"/>
  <c r="M22" i="5" s="1"/>
  <c r="K22" i="5"/>
  <c r="N21" i="5"/>
  <c r="M21" i="5"/>
  <c r="L21" i="5"/>
  <c r="K21" i="5"/>
  <c r="N20" i="5"/>
  <c r="M20" i="5"/>
  <c r="L20" i="5"/>
  <c r="K20" i="5"/>
  <c r="N19" i="5"/>
  <c r="M19" i="5"/>
  <c r="L19" i="5"/>
  <c r="K19" i="5"/>
  <c r="N18" i="5"/>
  <c r="L18" i="5"/>
  <c r="M18" i="5" s="1"/>
  <c r="K18" i="5"/>
  <c r="N17" i="5"/>
  <c r="M17" i="5"/>
  <c r="L17" i="5"/>
  <c r="K17" i="5"/>
  <c r="N16" i="5"/>
  <c r="M16" i="5"/>
  <c r="L16" i="5"/>
  <c r="K16" i="5"/>
  <c r="N15" i="5"/>
  <c r="M15" i="5"/>
  <c r="L15" i="5"/>
  <c r="K15" i="5"/>
  <c r="N14" i="5"/>
  <c r="L14" i="5"/>
  <c r="M14" i="5" s="1"/>
  <c r="K14" i="5"/>
  <c r="N13" i="5"/>
  <c r="M13" i="5"/>
  <c r="L13" i="5"/>
  <c r="K13" i="5"/>
  <c r="N12" i="5"/>
  <c r="M12" i="5"/>
  <c r="L12" i="5"/>
  <c r="K12" i="5"/>
  <c r="N11" i="5"/>
  <c r="M11" i="5"/>
  <c r="L11" i="5"/>
  <c r="K11" i="5"/>
  <c r="N10" i="5"/>
  <c r="M10" i="5"/>
  <c r="L10" i="5"/>
  <c r="K10" i="5"/>
  <c r="N9" i="5"/>
  <c r="L9" i="5"/>
  <c r="M9" i="5" s="1"/>
  <c r="K9" i="5"/>
  <c r="N8" i="5"/>
  <c r="M8" i="5"/>
  <c r="L8" i="5"/>
  <c r="K8" i="5"/>
  <c r="N7" i="5"/>
  <c r="L7" i="5"/>
  <c r="M7" i="5" s="1"/>
  <c r="K7" i="5"/>
  <c r="N6" i="5"/>
  <c r="L6" i="5"/>
  <c r="M6" i="5" s="1"/>
  <c r="K6" i="5"/>
  <c r="N5" i="5"/>
  <c r="L5" i="5"/>
  <c r="M5" i="5" s="1"/>
  <c r="K5" i="5"/>
  <c r="N4" i="5"/>
  <c r="L4" i="5"/>
  <c r="M4" i="5" s="1"/>
  <c r="K4" i="5"/>
  <c r="N3" i="5"/>
  <c r="L3" i="5"/>
  <c r="M3" i="5" s="1"/>
  <c r="K3" i="5"/>
  <c r="F47" i="5" l="1"/>
  <c r="G47" i="5" s="1"/>
  <c r="N34" i="5"/>
  <c r="K34" i="5"/>
  <c r="L34" i="5"/>
  <c r="M34" i="5"/>
  <c r="D39" i="1"/>
  <c r="N33" i="1"/>
  <c r="J33" i="1"/>
  <c r="I33" i="1"/>
  <c r="H33" i="1"/>
  <c r="G33" i="1"/>
  <c r="G40" i="1" s="1"/>
  <c r="F33" i="1"/>
  <c r="E33" i="1"/>
  <c r="E35" i="1" s="1"/>
  <c r="D33" i="1"/>
  <c r="D35" i="1" s="1"/>
  <c r="N32" i="1"/>
  <c r="L32" i="1"/>
  <c r="M32" i="1" s="1"/>
  <c r="K32" i="1"/>
  <c r="N31" i="1"/>
  <c r="M31" i="1"/>
  <c r="L31" i="1"/>
  <c r="K31" i="1"/>
  <c r="N30" i="1"/>
  <c r="L30" i="1"/>
  <c r="M30" i="1" s="1"/>
  <c r="K30" i="1"/>
  <c r="N29" i="1"/>
  <c r="M29" i="1"/>
  <c r="L29" i="1"/>
  <c r="K29" i="1"/>
  <c r="N28" i="1"/>
  <c r="L28" i="1"/>
  <c r="M28" i="1" s="1"/>
  <c r="K28" i="1"/>
  <c r="N27" i="1"/>
  <c r="M27" i="1"/>
  <c r="L27" i="1"/>
  <c r="K27" i="1"/>
  <c r="N26" i="1"/>
  <c r="L26" i="1"/>
  <c r="M26" i="1" s="1"/>
  <c r="K26" i="1"/>
  <c r="N25" i="1"/>
  <c r="M25" i="1"/>
  <c r="L25" i="1"/>
  <c r="K25" i="1"/>
  <c r="N24" i="1"/>
  <c r="L24" i="1"/>
  <c r="M24" i="1" s="1"/>
  <c r="K24" i="1"/>
  <c r="N23" i="1"/>
  <c r="M23" i="1"/>
  <c r="L23" i="1"/>
  <c r="K23" i="1"/>
  <c r="N22" i="1"/>
  <c r="L22" i="1"/>
  <c r="M22" i="1" s="1"/>
  <c r="K22" i="1"/>
  <c r="N21" i="1"/>
  <c r="M21" i="1"/>
  <c r="L21" i="1"/>
  <c r="K21" i="1"/>
  <c r="N20" i="1"/>
  <c r="L20" i="1"/>
  <c r="M20" i="1" s="1"/>
  <c r="K20" i="1"/>
  <c r="N19" i="1"/>
  <c r="M19" i="1"/>
  <c r="L19" i="1"/>
  <c r="K19" i="1"/>
  <c r="N18" i="1"/>
  <c r="L18" i="1"/>
  <c r="M18" i="1" s="1"/>
  <c r="K18" i="1"/>
  <c r="N17" i="1"/>
  <c r="M17" i="1"/>
  <c r="L17" i="1"/>
  <c r="K17" i="1"/>
  <c r="N16" i="1"/>
  <c r="L16" i="1"/>
  <c r="M16" i="1" s="1"/>
  <c r="K16" i="1"/>
  <c r="N15" i="1"/>
  <c r="M15" i="1"/>
  <c r="L15" i="1"/>
  <c r="K15" i="1"/>
  <c r="N14" i="1"/>
  <c r="L14" i="1"/>
  <c r="M14" i="1" s="1"/>
  <c r="K14" i="1"/>
  <c r="N13" i="1"/>
  <c r="M13" i="1"/>
  <c r="L13" i="1"/>
  <c r="K13" i="1"/>
  <c r="N12" i="1"/>
  <c r="L12" i="1"/>
  <c r="M12" i="1" s="1"/>
  <c r="K12" i="1"/>
  <c r="N11" i="1"/>
  <c r="M11" i="1"/>
  <c r="L11" i="1"/>
  <c r="K11" i="1"/>
  <c r="N10" i="1"/>
  <c r="L10" i="1"/>
  <c r="M10" i="1" s="1"/>
  <c r="K10" i="1"/>
  <c r="N9" i="1"/>
  <c r="M9" i="1"/>
  <c r="L9" i="1"/>
  <c r="K9" i="1"/>
  <c r="N8" i="1"/>
  <c r="L8" i="1"/>
  <c r="M8" i="1" s="1"/>
  <c r="K8" i="1"/>
  <c r="N7" i="1"/>
  <c r="M7" i="1"/>
  <c r="L7" i="1"/>
  <c r="K7" i="1"/>
  <c r="N6" i="1"/>
  <c r="L6" i="1"/>
  <c r="M6" i="1" s="1"/>
  <c r="K6" i="1"/>
  <c r="N5" i="1"/>
  <c r="M5" i="1"/>
  <c r="L5" i="1"/>
  <c r="K5" i="1"/>
  <c r="N4" i="1"/>
  <c r="M4" i="1"/>
  <c r="L4" i="1"/>
  <c r="K4" i="1"/>
  <c r="N3" i="1"/>
  <c r="M3" i="1"/>
  <c r="L3" i="1"/>
  <c r="L33" i="1" s="1"/>
  <c r="K3" i="1"/>
  <c r="K33" i="1" s="1"/>
  <c r="D40" i="4"/>
  <c r="J34" i="4"/>
  <c r="J38" i="4" s="1"/>
  <c r="I34" i="4"/>
  <c r="H34" i="4"/>
  <c r="H38" i="4" s="1"/>
  <c r="G34" i="4"/>
  <c r="G41" i="4" s="1"/>
  <c r="F34" i="4"/>
  <c r="E34" i="4"/>
  <c r="E36" i="4" s="1"/>
  <c r="D34" i="4"/>
  <c r="N33" i="4"/>
  <c r="L33" i="4"/>
  <c r="M33" i="4" s="1"/>
  <c r="K33" i="4"/>
  <c r="N32" i="4"/>
  <c r="L32" i="4"/>
  <c r="M32" i="4" s="1"/>
  <c r="K32" i="4"/>
  <c r="N31" i="4"/>
  <c r="L31" i="4"/>
  <c r="M31" i="4" s="1"/>
  <c r="K31" i="4"/>
  <c r="N30" i="4"/>
  <c r="M30" i="4"/>
  <c r="K30" i="4"/>
  <c r="N29" i="4"/>
  <c r="L29" i="4"/>
  <c r="M29" i="4" s="1"/>
  <c r="K29" i="4"/>
  <c r="N28" i="4"/>
  <c r="L28" i="4"/>
  <c r="M28" i="4" s="1"/>
  <c r="K28" i="4"/>
  <c r="N27" i="4"/>
  <c r="L27" i="4"/>
  <c r="M27" i="4" s="1"/>
  <c r="K27" i="4"/>
  <c r="N26" i="4"/>
  <c r="L26" i="4"/>
  <c r="M26" i="4" s="1"/>
  <c r="K26" i="4"/>
  <c r="N25" i="4"/>
  <c r="L25" i="4"/>
  <c r="M25" i="4" s="1"/>
  <c r="K25" i="4"/>
  <c r="N24" i="4"/>
  <c r="L24" i="4"/>
  <c r="M24" i="4" s="1"/>
  <c r="K24" i="4"/>
  <c r="N23" i="4"/>
  <c r="L23" i="4"/>
  <c r="M23" i="4" s="1"/>
  <c r="K23" i="4"/>
  <c r="N22" i="4"/>
  <c r="L22" i="4"/>
  <c r="M22" i="4" s="1"/>
  <c r="K22" i="4"/>
  <c r="N21" i="4"/>
  <c r="L21" i="4"/>
  <c r="M21" i="4" s="1"/>
  <c r="K21" i="4"/>
  <c r="N20" i="4"/>
  <c r="L20" i="4"/>
  <c r="M20" i="4" s="1"/>
  <c r="K20" i="4"/>
  <c r="N19" i="4"/>
  <c r="L19" i="4"/>
  <c r="M19" i="4" s="1"/>
  <c r="K19" i="4"/>
  <c r="N18" i="4"/>
  <c r="L18" i="4"/>
  <c r="M18" i="4" s="1"/>
  <c r="K18" i="4"/>
  <c r="N17" i="4"/>
  <c r="L17" i="4"/>
  <c r="M17" i="4" s="1"/>
  <c r="K17" i="4"/>
  <c r="N16" i="4"/>
  <c r="L16" i="4"/>
  <c r="M16" i="4" s="1"/>
  <c r="K16" i="4"/>
  <c r="N15" i="4"/>
  <c r="L15" i="4"/>
  <c r="M15" i="4" s="1"/>
  <c r="K15" i="4"/>
  <c r="N14" i="4"/>
  <c r="L14" i="4"/>
  <c r="M14" i="4" s="1"/>
  <c r="K14" i="4"/>
  <c r="N13" i="4"/>
  <c r="L13" i="4"/>
  <c r="M13" i="4" s="1"/>
  <c r="K13" i="4"/>
  <c r="N12" i="4"/>
  <c r="L12" i="4"/>
  <c r="M12" i="4" s="1"/>
  <c r="K12" i="4"/>
  <c r="N11" i="4"/>
  <c r="L11" i="4"/>
  <c r="M11" i="4" s="1"/>
  <c r="K11" i="4"/>
  <c r="N10" i="4"/>
  <c r="L10" i="4"/>
  <c r="M10" i="4" s="1"/>
  <c r="K10" i="4"/>
  <c r="N9" i="4"/>
  <c r="L9" i="4"/>
  <c r="M9" i="4" s="1"/>
  <c r="K9" i="4"/>
  <c r="N8" i="4"/>
  <c r="L8" i="4"/>
  <c r="M8" i="4" s="1"/>
  <c r="K8" i="4"/>
  <c r="N7" i="4"/>
  <c r="L7" i="4"/>
  <c r="M7" i="4" s="1"/>
  <c r="K7" i="4"/>
  <c r="N6" i="4"/>
  <c r="L6" i="4"/>
  <c r="M6" i="4" s="1"/>
  <c r="K6" i="4"/>
  <c r="N5" i="4"/>
  <c r="L5" i="4"/>
  <c r="M5" i="4" s="1"/>
  <c r="K5" i="4"/>
  <c r="N4" i="4"/>
  <c r="L4" i="4"/>
  <c r="M4" i="4" s="1"/>
  <c r="K4" i="4"/>
  <c r="N3" i="4"/>
  <c r="N34" i="4" s="1"/>
  <c r="L3" i="4"/>
  <c r="L34" i="4" s="1"/>
  <c r="K3" i="4"/>
  <c r="K34" i="4" s="1"/>
  <c r="M33" i="1" l="1"/>
  <c r="M3" i="4"/>
  <c r="D36" i="4"/>
  <c r="D43" i="4"/>
  <c r="M34" i="4"/>
  <c r="G38" i="4"/>
  <c r="D44" i="4"/>
</calcChain>
</file>

<file path=xl/sharedStrings.xml><?xml version="1.0" encoding="utf-8"?>
<sst xmlns="http://schemas.openxmlformats.org/spreadsheetml/2006/main" count="1133" uniqueCount="136">
  <si>
    <t>SI No</t>
  </si>
  <si>
    <t>Date</t>
  </si>
  <si>
    <t>Hrs</t>
  </si>
  <si>
    <t>TG generation</t>
  </si>
  <si>
    <t xml:space="preserve">Total Export </t>
  </si>
  <si>
    <t>Total Import</t>
  </si>
  <si>
    <t>SMS Consumption</t>
  </si>
  <si>
    <t>RM Consumption</t>
  </si>
  <si>
    <t>CPP Aux.</t>
  </si>
  <si>
    <t>DRI Consumption</t>
  </si>
  <si>
    <t>Net Power</t>
  </si>
  <si>
    <t>Power for ED Computation</t>
  </si>
  <si>
    <t>ED payment</t>
  </si>
  <si>
    <t>LF or CF</t>
  </si>
  <si>
    <t>KARAKOLHA SID, RUNGTA MINES LIMITED
22MW POWER PLANT GENERATION Vs CONSUMPTION DAYWISE FOR THE MONTH NOV-2024</t>
  </si>
  <si>
    <t>Total</t>
  </si>
  <si>
    <t>Actual</t>
  </si>
  <si>
    <t>Diff.</t>
  </si>
  <si>
    <t>Adjustment</t>
  </si>
  <si>
    <t>Initial TVM Reading</t>
  </si>
  <si>
    <t>final TVM Reading</t>
  </si>
  <si>
    <t>06.00 to 06.00</t>
  </si>
  <si>
    <t>KARAKOLHA SID, RUNGTA MINES LIMITED
22MW POWER PLANT GENERATION Vs CONSUMPTION DAYWISE FOR THE MONTH JAN-2025</t>
  </si>
  <si>
    <t>KSP DRI</t>
  </si>
  <si>
    <t>KKSP CPP</t>
  </si>
  <si>
    <t>FROM</t>
  </si>
  <si>
    <t>TO</t>
  </si>
  <si>
    <t>CABLE SIZE</t>
  </si>
  <si>
    <t>CONTROL &amp; RELAY PANEL</t>
  </si>
  <si>
    <t>4C X 2.5 (CU)</t>
  </si>
  <si>
    <t>LINE PT MARSHALLING</t>
  </si>
  <si>
    <t>2C X 2.5(CU)</t>
  </si>
  <si>
    <t>EXTERNAL</t>
  </si>
  <si>
    <t>220V AC SUPPLY</t>
  </si>
  <si>
    <t>2C X 4(CU)</t>
  </si>
  <si>
    <t>24V DC SUPPLY</t>
  </si>
  <si>
    <t>8C X 1.5 (CU)</t>
  </si>
  <si>
    <t>BREAKER MARSHALLING</t>
  </si>
  <si>
    <t>BREAKER STATUS</t>
  </si>
  <si>
    <t>TRANSFORMER MARSHALLING</t>
  </si>
  <si>
    <t>OTI,WTI,BUCH ALARAM &amp; TRIP</t>
  </si>
  <si>
    <t>4C X 1.5 (CU)</t>
  </si>
  <si>
    <t>LINE CT MARSHALLING</t>
  </si>
  <si>
    <t>PT SUPPLY FOR PROTECTION</t>
  </si>
  <si>
    <t>CT SUPPLY FOR PROTECTION</t>
  </si>
  <si>
    <t>CT SUPPLY FOR METERING</t>
  </si>
  <si>
    <t>BREAKER ON COMMAND(REMOTE)</t>
  </si>
  <si>
    <t>BREAKER OFF COMMAND(REMOTE)</t>
  </si>
  <si>
    <t>LENGTH</t>
  </si>
  <si>
    <t>SR.NO</t>
  </si>
  <si>
    <t>PURPOSE</t>
  </si>
  <si>
    <t>29-02-2025</t>
  </si>
  <si>
    <t>30-02-2025</t>
  </si>
  <si>
    <t>31-02-2025</t>
  </si>
  <si>
    <t>LF or CF(KKL)</t>
  </si>
  <si>
    <t>LF or CF(KKSP)</t>
  </si>
  <si>
    <t>TG generation(KKL)</t>
  </si>
  <si>
    <t>TG generation(KKSP)</t>
  </si>
  <si>
    <t>05.05.2025</t>
  </si>
  <si>
    <t>KARAKOLHA SID, RUNGTA MINES LIMITED
22MW POWER PLANT GENERATION Vs CONSUMPTION DAYWISE FOR THE MONTH APR-2025</t>
  </si>
  <si>
    <t>13.05.2025</t>
  </si>
  <si>
    <t>14.05.2025</t>
  </si>
  <si>
    <t>KARAKOLHA SID, RUNGTA MINES LIMITED
22MW POWER PLANT GENERATION Vs CONSUMPTION DAYWISE FOR THE MONTH MAR-2025</t>
  </si>
  <si>
    <t>KARAKOLHA SID, RUNGTA MINES LIMITED
22MW POWER PLANT GENERATION Vs CONSUMPTION DAYWISE FOR THE MONTH FEB-2025</t>
  </si>
  <si>
    <t>CPP Aux.(KKL)</t>
  </si>
  <si>
    <t>CPP Aux.(KKSP)</t>
  </si>
  <si>
    <t>DRI(KKL)</t>
  </si>
  <si>
    <t xml:space="preserve"> DRI(KKSP)</t>
  </si>
  <si>
    <t>02.05.2025</t>
  </si>
  <si>
    <t>03.05.2025</t>
  </si>
  <si>
    <t>04.05.2025</t>
  </si>
  <si>
    <t>01.05.2025</t>
  </si>
  <si>
    <t>07.05.2025</t>
  </si>
  <si>
    <t>08.05.2025</t>
  </si>
  <si>
    <t>09.05.2025</t>
  </si>
  <si>
    <t>10.05.2025</t>
  </si>
  <si>
    <t>11.05.2025</t>
  </si>
  <si>
    <t>12.05.2025</t>
  </si>
  <si>
    <t>15.05.2025</t>
  </si>
  <si>
    <t>16.05.2025</t>
  </si>
  <si>
    <t>17.05.2025</t>
  </si>
  <si>
    <t>18.05.2025</t>
  </si>
  <si>
    <t>19.05.2025</t>
  </si>
  <si>
    <t>20.05.2025</t>
  </si>
  <si>
    <t>21.05.2025</t>
  </si>
  <si>
    <t>22.05.2025</t>
  </si>
  <si>
    <t>23.05.2025</t>
  </si>
  <si>
    <t>24.05.2025</t>
  </si>
  <si>
    <t>25.05.2025</t>
  </si>
  <si>
    <t>26.05.2025</t>
  </si>
  <si>
    <t>KARAKOLHA SID, RUNGTA MINES LIMITED
22MW POWER PLANT GENERATION Vs CONSUMPTION DAYWISE FOR THE YEAR 2025</t>
  </si>
  <si>
    <t>27.05.2025</t>
  </si>
  <si>
    <t>28.05.2025</t>
  </si>
  <si>
    <t>29.05.2025</t>
  </si>
  <si>
    <t>30.05.2025</t>
  </si>
  <si>
    <t>31.05.2025</t>
  </si>
  <si>
    <t>KARAKOLHA SID, RUNGTA MINES LIMITED
22MW POWER PLANT GENERATION Vs CONSUMPTION DAYWISE FOR THE MONTH SEPT- 2025</t>
  </si>
  <si>
    <t>KARAKOLHA SID, RUNGTA MINES LIMITED
22MW POWER PLANT GENERATION Vs CONSUMPTION DAYWISE FOR THE MONTH AUGUST- 2025</t>
  </si>
  <si>
    <t>KARAKOLHA SID, RUNGTA MINES LIMITED
22MW POWER PLANT GENERATION Vs CONSUMPTION DAYWISE FOR THE MONTH OCT- 2025</t>
  </si>
  <si>
    <t>KARAKOLHA SID, RUNGTA MINES LIMITED
22MW POWER PLANT GENERATION Vs CONSUMPTION DAYWISE OF MONTH NOV FOR THE YEAR 2025</t>
  </si>
  <si>
    <t>CPP 
AUX(KKSP)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</si>
  <si>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</si>
  <si>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</si>
  <si>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</si>
  <si>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</si>
  <si>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</si>
  <si>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</si>
  <si>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</si>
  <si>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</si>
  <si>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</si>
  <si>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</si>
  <si>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</si>
  <si>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</si>
  <si>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</si>
  <si>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</si>
  <si>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</si>
  <si>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</si>
  <si>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</si>
  <si>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</si>
  <si>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</si>
  <si>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</si>
  <si>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</si>
  <si>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</si>
  <si>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</si>
  <si>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</si>
  <si>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</si>
  <si>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</si>
  <si>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</si>
  <si>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</si>
  <si>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</si>
  <si>
    <t>30.11.2025</t>
  </si>
  <si>
    <t>31.11.2025</t>
  </si>
  <si>
    <t>KARAKOLHA SID, RUNGTA MINES LIMITED
22MW POWER PLANT GENERATION Vs CONSUMPTION DAYWISE OF MONTH DECEMBER FOR THE YEAR 2025</t>
  </si>
  <si>
    <t>KARAKOLHA SID, RUNGTA MINES LIMITED
22MW POWER PLANT GENERATION Vs CONSUMPTION DAYWISE OF MONTH JANUARY FOR THE YEAR 2026</t>
  </si>
  <si>
    <t>KARAKOLHA SID, RUNGTA MINES LIMITED
22MW POWER PLANT GENERATION Vs CONSUMPTION DAYWISE OF MONTH FEBRUARY FOR THE YEAR 2026</t>
  </si>
  <si>
    <t>KARAKOLHA SID, RUNGTA MINES LIMITED
22MW POWER PLANT GENERATION Vs CONSUMPTION DAYWISE OF MONTH APRIL FOR THE YEAR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</si>
</sst>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  <xf numFmtId="0" fontId="0" fillId="2" borderId="0" xfId="0" applyFill="1"/>
    <xf numFmtId="0" fontId="0" fillId="4" borderId="0" xfId="0" applyFill="1"/>
    <xf numFmtId="0" fontId="0" fillId="0" borderId="0" xfId="0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2" fontId="0" fillId="2" borderId="2" xfId="0" applyNumberForma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0" fillId="0" borderId="1" xfId="0" applyBorder="1"/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14" fontId="0" fillId="4" borderId="2" xfId="0" applyNumberFormat="1" applyFill="1" applyBorder="1" applyAlignment="1">
      <alignment horizontal="center" vertical="center"/>
    </xf>
    <xf numFmtId="2" fontId="0" fillId="4" borderId="2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164" fontId="0" fillId="4" borderId="2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64" fontId="0" fillId="4" borderId="14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64" fontId="1" fillId="2" borderId="6" xfId="0" applyNumberFormat="1" applyFont="1" applyFill="1" applyBorder="1" applyAlignment="1">
      <alignment horizontal="center" vertical="center"/>
    </xf>
    <xf numFmtId="2" fontId="0" fillId="0" borderId="0" xfId="0" applyNumberFormat="1"/>
    <xf numFmtId="0" fontId="0" fillId="0" borderId="6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0" xfId="0" applyNumberFormat="1"/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4"/>
  <sheetViews>
    <sheetView zoomScaleNormal="100" workbookViewId="0">
      <selection sqref="A1:T32"/>
    </sheetView>
  </sheetViews>
  <sheetFormatPr defaultRowHeight="15" x14ac:dyDescent="0.25"/>
  <cols>
    <col min="2" max="2" width="10.42578125" bestFit="1" customWidth="1"/>
    <col min="3" max="3" width="18.5703125" bestFit="1" customWidth="1"/>
    <col min="4" max="4" width="11.140625" customWidth="1"/>
    <col min="5" max="5" width="18.85546875" customWidth="1"/>
    <col min="6" max="6" width="14.5703125" customWidth="1"/>
    <col min="7" max="7" width="11.5703125" bestFit="1" customWidth="1"/>
    <col min="9" max="9" width="11.5703125" bestFit="1" customWidth="1"/>
    <col min="10" max="10" width="13.85546875" customWidth="1"/>
    <col min="11" max="11" width="13.5703125" customWidth="1"/>
    <col min="12" max="12" width="10.42578125" customWidth="1"/>
    <col min="14" max="14" width="11.28515625" customWidth="1"/>
    <col min="15" max="15" width="11" customWidth="1"/>
    <col min="17" max="17" width="14" customWidth="1"/>
    <col min="18" max="18" width="11.140625" customWidth="1"/>
  </cols>
  <sheetData>
    <row r="1" spans="1:20" ht="40.5" customHeight="1" thickBot="1" x14ac:dyDescent="0.3">
      <c r="A1" s="59" t="s">
        <v>135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</row>
    <row r="2" spans="1:20" ht="61.5" customHeight="1" thickBot="1" x14ac:dyDescent="0.3">
      <c r="A2" s="9" t="s">
        <v>0</v>
      </c>
      <c r="B2" s="10" t="s">
        <v>1</v>
      </c>
      <c r="C2" s="10" t="s">
        <v>2</v>
      </c>
      <c r="D2" s="21" t="s">
        <v>56</v>
      </c>
      <c r="E2" s="21" t="s">
        <v>57</v>
      </c>
      <c r="F2" s="21" t="s">
        <v>4</v>
      </c>
      <c r="G2" s="21" t="s">
        <v>5</v>
      </c>
      <c r="H2" s="21" t="s">
        <v>6</v>
      </c>
      <c r="I2" s="21" t="s">
        <v>7</v>
      </c>
      <c r="J2" s="21" t="s">
        <v>64</v>
      </c>
      <c r="K2" s="21" t="s">
        <v>66</v>
      </c>
      <c r="L2" s="21" t="s">
        <v>100</v>
      </c>
      <c r="M2" s="21" t="s">
        <v>67</v>
      </c>
      <c r="N2" s="21" t="s">
        <v>10</v>
      </c>
      <c r="O2" s="21" t="s">
        <v>11</v>
      </c>
      <c r="P2" s="10" t="s">
        <v>12</v>
      </c>
      <c r="Q2" s="45" t="s">
        <v>54</v>
      </c>
      <c r="R2" s="46" t="s">
        <v>55</v>
      </c>
      <c r="S2" s="45" t="s">
        <v>54</v>
      </c>
      <c r="T2" s="46" t="s">
        <v>55</v>
      </c>
    </row>
    <row r="3" spans="1:20" x14ac:dyDescent="0.25">
      <c r="A3" s="6">
        <v>1</v>
      </c>
      <c r="B3" s="5">
        <v>46113</v>
      </c>
      <c r="C3" s="4" t="s">
        <v>21</v>
      </c>
      <c r="D3" s="4">
        <v>449500</v>
      </c>
      <c r="E3" s="4">
        <v>0</v>
      </c>
      <c r="F3" s="4">
        <v>110</v>
      </c>
      <c r="G3" s="4">
        <v>290035</v>
      </c>
      <c r="H3" s="4">
        <v>543121.6</v>
      </c>
      <c r="I3" s="4">
        <v>92207.2</v>
      </c>
      <c r="J3" s="4">
        <v>57989</v>
      </c>
      <c r="K3" s="4">
        <v>31953.599999999999</v>
      </c>
      <c r="L3" s="4">
        <v>3900</v>
      </c>
      <c r="M3" s="4">
        <v>10253.6</v>
      </c>
      <c r="N3" s="4">
        <f>(D3+E3)-F3-J3-L3</f>
        <v>387501</v>
      </c>
      <c r="O3" s="4">
        <f>(D3+E3)-F3</f>
        <v>449390</v>
      </c>
      <c r="P3" s="4">
        <f>O3*0.55</f>
        <v>247164.50000000003</v>
      </c>
      <c r="Q3" s="40">
        <f t="shared" ref="Q3:T18" si="0">(D3/528000)*100</f>
        <v>85.132575757575751</v>
      </c>
      <c r="R3" s="31">
        <f t="shared" si="0"/>
        <v>0</v>
      </c>
      <c r="S3" s="40">
        <f t="shared" si="0"/>
        <v>2.0833333333333336E-2</v>
      </c>
      <c r="T3" s="31">
        <f t="shared" si="0"/>
        <v>54.930871212121211</v>
      </c>
    </row>
    <row r="4" spans="1:20" x14ac:dyDescent="0.25">
      <c r="A4" s="7">
        <v>2</v>
      </c>
      <c r="B4" s="5">
        <v>46114</v>
      </c>
      <c r="C4" s="2" t="s">
        <v>21</v>
      </c>
      <c r="D4" s="2">
        <v>468900</v>
      </c>
      <c r="E4" s="2">
        <v>0</v>
      </c>
      <c r="F4" s="2">
        <v>0</v>
      </c>
      <c r="G4" s="2">
        <v>309380</v>
      </c>
      <c r="H4" s="2">
        <v>586779.6</v>
      </c>
      <c r="I4" s="2">
        <v>88693.2</v>
      </c>
      <c r="J4" s="2">
        <v>57914</v>
      </c>
      <c r="K4" s="2">
        <v>32646.6</v>
      </c>
      <c r="L4" s="4">
        <v>4500</v>
      </c>
      <c r="M4" s="4">
        <v>7746.6</v>
      </c>
      <c r="N4" s="4">
        <f t="shared" ref="N4:N33" si="1">(D4+E4)-F4-J4-L4</f>
        <v>406486</v>
      </c>
      <c r="O4" s="4">
        <f t="shared" ref="O4:O33" si="2">(D4+E4)-F4</f>
        <v>468900</v>
      </c>
      <c r="P4" s="4">
        <f t="shared" ref="P4:P33" si="3">O4*0.55</f>
        <v>257895.00000000003</v>
      </c>
      <c r="Q4" s="40">
        <f t="shared" si="0"/>
        <v>88.806818181818187</v>
      </c>
      <c r="R4" s="31">
        <f t="shared" si="0"/>
        <v>0</v>
      </c>
      <c r="S4" s="40">
        <f t="shared" si="0"/>
        <v>0</v>
      </c>
      <c r="T4" s="31">
        <f t="shared" si="0"/>
        <v>58.594696969696969</v>
      </c>
    </row>
    <row r="5" spans="1:20" x14ac:dyDescent="0.25">
      <c r="A5" s="7">
        <v>3</v>
      </c>
      <c r="B5" s="5">
        <v>46115</v>
      </c>
      <c r="C5" s="2" t="s">
        <v>21</v>
      </c>
      <c r="D5" s="2">
        <v>450700</v>
      </c>
      <c r="E5" s="2">
        <v>0</v>
      </c>
      <c r="F5" s="2">
        <v>370</v>
      </c>
      <c r="G5" s="2">
        <v>299695</v>
      </c>
      <c r="H5" s="2">
        <v>566078</v>
      </c>
      <c r="I5" s="2">
        <v>83126</v>
      </c>
      <c r="J5" s="2">
        <v>57795</v>
      </c>
      <c r="K5" s="2">
        <v>31213</v>
      </c>
      <c r="L5" s="4">
        <v>3800</v>
      </c>
      <c r="M5" s="4">
        <v>8013</v>
      </c>
      <c r="N5" s="4">
        <f t="shared" si="1"/>
        <v>388735</v>
      </c>
      <c r="O5" s="4">
        <f t="shared" si="2"/>
        <v>450330</v>
      </c>
      <c r="P5" s="4">
        <f t="shared" si="3"/>
        <v>247681.50000000003</v>
      </c>
      <c r="Q5" s="40">
        <f t="shared" si="0"/>
        <v>85.359848484848484</v>
      </c>
      <c r="R5" s="31">
        <f t="shared" si="0"/>
        <v>0</v>
      </c>
      <c r="S5" s="40">
        <f t="shared" si="0"/>
        <v>7.0075757575757569E-2</v>
      </c>
      <c r="T5" s="31">
        <f t="shared" si="0"/>
        <v>56.760416666666671</v>
      </c>
    </row>
    <row r="6" spans="1:20" x14ac:dyDescent="0.25">
      <c r="A6" s="7">
        <v>4</v>
      </c>
      <c r="B6" s="5">
        <v>46116</v>
      </c>
      <c r="C6" s="2" t="s">
        <v>21</v>
      </c>
      <c r="D6" s="2">
        <v>451800</v>
      </c>
      <c r="E6" s="2"/>
      <c r="F6" s="2">
        <v>0</v>
      </c>
      <c r="G6" s="2">
        <v>322360</v>
      </c>
      <c r="H6" s="2">
        <v>581189.4</v>
      </c>
      <c r="I6" s="2">
        <v>95029.8</v>
      </c>
      <c r="J6" s="2">
        <v>58311</v>
      </c>
      <c r="K6" s="2">
        <v>30214.9</v>
      </c>
      <c r="L6" s="4">
        <v>3600</v>
      </c>
      <c r="M6" s="4">
        <v>5814.9</v>
      </c>
      <c r="N6" s="4">
        <f t="shared" si="1"/>
        <v>389889</v>
      </c>
      <c r="O6" s="4">
        <f t="shared" si="2"/>
        <v>451800</v>
      </c>
      <c r="P6" s="4">
        <f t="shared" si="3"/>
        <v>248490.00000000003</v>
      </c>
      <c r="Q6" s="40">
        <f t="shared" si="0"/>
        <v>85.568181818181827</v>
      </c>
      <c r="R6" s="31">
        <f t="shared" si="0"/>
        <v>0</v>
      </c>
      <c r="S6" s="40">
        <f t="shared" si="0"/>
        <v>0</v>
      </c>
      <c r="T6" s="31">
        <f t="shared" si="0"/>
        <v>61.053030303030297</v>
      </c>
    </row>
    <row r="7" spans="1:20" x14ac:dyDescent="0.25">
      <c r="A7" s="7">
        <v>5</v>
      </c>
      <c r="B7" s="5">
        <v>46117</v>
      </c>
      <c r="C7" s="2" t="s">
        <v>21</v>
      </c>
      <c r="D7" s="2">
        <v>458600</v>
      </c>
      <c r="E7" s="2">
        <v>0</v>
      </c>
      <c r="F7" s="2">
        <v>0</v>
      </c>
      <c r="G7" s="2">
        <v>293790</v>
      </c>
      <c r="H7" s="2">
        <v>565545.6</v>
      </c>
      <c r="I7" s="2">
        <v>90815.2</v>
      </c>
      <c r="J7" s="2">
        <v>55114</v>
      </c>
      <c r="K7" s="2">
        <v>29807.599999999999</v>
      </c>
      <c r="L7" s="4">
        <v>4900</v>
      </c>
      <c r="M7" s="4">
        <v>6207.6</v>
      </c>
      <c r="N7" s="4">
        <f t="shared" si="1"/>
        <v>398586</v>
      </c>
      <c r="O7" s="4">
        <f t="shared" si="2"/>
        <v>458600</v>
      </c>
      <c r="P7" s="4">
        <f t="shared" si="3"/>
        <v>252230.00000000003</v>
      </c>
      <c r="Q7" s="40">
        <f t="shared" si="0"/>
        <v>86.856060606060609</v>
      </c>
      <c r="R7" s="31">
        <f t="shared" si="0"/>
        <v>0</v>
      </c>
      <c r="S7" s="40">
        <f t="shared" si="0"/>
        <v>0</v>
      </c>
      <c r="T7" s="31">
        <f t="shared" si="0"/>
        <v>55.642045454545453</v>
      </c>
    </row>
    <row r="8" spans="1:20" x14ac:dyDescent="0.25">
      <c r="A8" s="7">
        <v>6</v>
      </c>
      <c r="B8" s="5">
        <v>46118</v>
      </c>
      <c r="C8" s="2" t="s">
        <v>21</v>
      </c>
      <c r="D8" s="2">
        <v>448000</v>
      </c>
      <c r="E8" s="2">
        <v>0</v>
      </c>
      <c r="F8" s="2">
        <v>65</v>
      </c>
      <c r="G8" s="2">
        <v>317760</v>
      </c>
      <c r="H8" s="2">
        <v>587669.4</v>
      </c>
      <c r="I8" s="2">
        <v>83889.8</v>
      </c>
      <c r="J8" s="2">
        <v>54646</v>
      </c>
      <c r="K8" s="2">
        <v>29044.9</v>
      </c>
      <c r="L8" s="4">
        <v>4900</v>
      </c>
      <c r="M8" s="4">
        <v>5544.9</v>
      </c>
      <c r="N8" s="4">
        <f t="shared" si="1"/>
        <v>388389</v>
      </c>
      <c r="O8" s="4">
        <f t="shared" si="2"/>
        <v>447935</v>
      </c>
      <c r="P8" s="4">
        <f t="shared" si="3"/>
        <v>246364.25000000003</v>
      </c>
      <c r="Q8" s="40">
        <f t="shared" si="0"/>
        <v>84.848484848484844</v>
      </c>
      <c r="R8" s="31">
        <f t="shared" si="0"/>
        <v>0</v>
      </c>
      <c r="S8" s="40">
        <f t="shared" si="0"/>
        <v>1.2310606060606062E-2</v>
      </c>
      <c r="T8" s="31">
        <f t="shared" si="0"/>
        <v>60.18181818181818</v>
      </c>
    </row>
    <row r="9" spans="1:20" x14ac:dyDescent="0.25">
      <c r="A9" s="7">
        <v>7</v>
      </c>
      <c r="B9" s="5">
        <v>46119</v>
      </c>
      <c r="C9" s="2" t="s">
        <v>21</v>
      </c>
      <c r="D9" s="2">
        <v>417400</v>
      </c>
      <c r="E9" s="2">
        <v>0</v>
      </c>
      <c r="F9" s="2">
        <v>50</v>
      </c>
      <c r="G9" s="2">
        <v>285765</v>
      </c>
      <c r="H9" s="2">
        <v>514464.2</v>
      </c>
      <c r="I9" s="2">
        <v>86421.4</v>
      </c>
      <c r="J9" s="2">
        <v>54008</v>
      </c>
      <c r="K9" s="2">
        <v>28460.7</v>
      </c>
      <c r="L9" s="4">
        <v>5100</v>
      </c>
      <c r="M9" s="4">
        <v>14660.7</v>
      </c>
      <c r="N9" s="4">
        <f t="shared" si="1"/>
        <v>358242</v>
      </c>
      <c r="O9" s="4">
        <f t="shared" si="2"/>
        <v>417350</v>
      </c>
      <c r="P9" s="4">
        <f t="shared" si="3"/>
        <v>229542.50000000003</v>
      </c>
      <c r="Q9" s="40">
        <f t="shared" si="0"/>
        <v>79.053030303030297</v>
      </c>
      <c r="R9" s="31">
        <f t="shared" si="0"/>
        <v>0</v>
      </c>
      <c r="S9" s="40">
        <f t="shared" si="0"/>
        <v>9.46969696969697E-3</v>
      </c>
      <c r="T9" s="31">
        <f t="shared" si="0"/>
        <v>54.122159090909093</v>
      </c>
    </row>
    <row r="10" spans="1:20" x14ac:dyDescent="0.25">
      <c r="A10" s="7">
        <v>8</v>
      </c>
      <c r="B10" s="5">
        <v>46120</v>
      </c>
      <c r="C10" s="2" t="s">
        <v>21</v>
      </c>
      <c r="D10" s="2">
        <v>392700</v>
      </c>
      <c r="E10" s="2">
        <v>331000</v>
      </c>
      <c r="F10" s="2">
        <v>9360</v>
      </c>
      <c r="G10" s="2">
        <v>108460</v>
      </c>
      <c r="H10" s="2">
        <v>581754</v>
      </c>
      <c r="I10" s="2">
        <v>101018</v>
      </c>
      <c r="J10" s="2">
        <v>53010</v>
      </c>
      <c r="K10" s="2">
        <v>26359</v>
      </c>
      <c r="L10" s="4">
        <v>27900</v>
      </c>
      <c r="M10" s="4">
        <v>32759</v>
      </c>
      <c r="N10" s="4">
        <f t="shared" si="1"/>
        <v>633430</v>
      </c>
      <c r="O10" s="4">
        <f t="shared" si="2"/>
        <v>714340</v>
      </c>
      <c r="P10" s="4">
        <f t="shared" si="3"/>
        <v>392887.00000000006</v>
      </c>
      <c r="Q10" s="40">
        <f t="shared" si="0"/>
        <v>74.375</v>
      </c>
      <c r="R10" s="31">
        <f t="shared" si="0"/>
        <v>62.689393939393945</v>
      </c>
      <c r="S10" s="40">
        <f t="shared" si="0"/>
        <v>1.7727272727272727</v>
      </c>
      <c r="T10" s="31">
        <f t="shared" si="0"/>
        <v>20.541666666666668</v>
      </c>
    </row>
    <row r="11" spans="1:20" x14ac:dyDescent="0.25">
      <c r="A11" s="7">
        <v>9</v>
      </c>
      <c r="B11" s="5">
        <v>46121</v>
      </c>
      <c r="C11" s="2" t="s">
        <v>21</v>
      </c>
      <c r="D11" s="2">
        <v>413100</v>
      </c>
      <c r="E11" s="2">
        <v>390400</v>
      </c>
      <c r="F11" s="2">
        <v>15160</v>
      </c>
      <c r="G11" s="2">
        <v>47940</v>
      </c>
      <c r="H11" s="2">
        <v>582257.4</v>
      </c>
      <c r="I11" s="2">
        <v>109685.8</v>
      </c>
      <c r="J11" s="2">
        <v>54051</v>
      </c>
      <c r="K11" s="2">
        <v>25692.9</v>
      </c>
      <c r="L11" s="4">
        <v>30200</v>
      </c>
      <c r="M11" s="4">
        <v>34392.9</v>
      </c>
      <c r="N11" s="4">
        <f t="shared" si="1"/>
        <v>704089</v>
      </c>
      <c r="O11" s="4">
        <f t="shared" si="2"/>
        <v>788340</v>
      </c>
      <c r="P11" s="4">
        <f t="shared" si="3"/>
        <v>433587.00000000006</v>
      </c>
      <c r="Q11" s="40">
        <f t="shared" si="0"/>
        <v>78.23863636363636</v>
      </c>
      <c r="R11" s="31">
        <f t="shared" si="0"/>
        <v>73.939393939393938</v>
      </c>
      <c r="S11" s="40">
        <f t="shared" si="0"/>
        <v>2.8712121212121211</v>
      </c>
      <c r="T11" s="31">
        <f t="shared" si="0"/>
        <v>9.0795454545454533</v>
      </c>
    </row>
    <row r="12" spans="1:20" x14ac:dyDescent="0.25">
      <c r="A12" s="7">
        <v>10</v>
      </c>
      <c r="B12" s="5">
        <v>46122</v>
      </c>
      <c r="C12" s="2" t="s">
        <v>21</v>
      </c>
      <c r="D12" s="2">
        <v>381900</v>
      </c>
      <c r="E12" s="2">
        <v>413600</v>
      </c>
      <c r="F12" s="2">
        <v>25395</v>
      </c>
      <c r="G12" s="2">
        <v>29860</v>
      </c>
      <c r="H12" s="2">
        <v>593757.80000000005</v>
      </c>
      <c r="I12" s="2">
        <v>61252.6</v>
      </c>
      <c r="J12" s="2">
        <v>50102</v>
      </c>
      <c r="K12" s="2">
        <v>27226.3</v>
      </c>
      <c r="L12" s="4">
        <v>31600</v>
      </c>
      <c r="M12" s="4">
        <v>36026.300000000003</v>
      </c>
      <c r="N12" s="4">
        <f t="shared" si="1"/>
        <v>688403</v>
      </c>
      <c r="O12" s="4">
        <f t="shared" si="2"/>
        <v>770105</v>
      </c>
      <c r="P12" s="4">
        <f t="shared" si="3"/>
        <v>423557.75000000006</v>
      </c>
      <c r="Q12" s="40">
        <f t="shared" si="0"/>
        <v>72.329545454545453</v>
      </c>
      <c r="R12" s="31">
        <f t="shared" si="0"/>
        <v>78.333333333333329</v>
      </c>
      <c r="S12" s="40">
        <f t="shared" si="0"/>
        <v>4.8096590909090908</v>
      </c>
      <c r="T12" s="31">
        <f t="shared" si="0"/>
        <v>5.6553030303030303</v>
      </c>
    </row>
    <row r="13" spans="1:20" x14ac:dyDescent="0.25">
      <c r="A13" s="7">
        <v>11</v>
      </c>
      <c r="B13" s="5">
        <v>46123</v>
      </c>
      <c r="C13" s="2" t="s">
        <v>21</v>
      </c>
      <c r="D13" s="2">
        <v>402600</v>
      </c>
      <c r="E13" s="2">
        <v>432800</v>
      </c>
      <c r="F13" s="2">
        <v>30455</v>
      </c>
      <c r="G13" s="2">
        <v>21880</v>
      </c>
      <c r="H13" s="2">
        <v>572124.6</v>
      </c>
      <c r="I13" s="2">
        <v>103508.2</v>
      </c>
      <c r="J13" s="2">
        <v>54684</v>
      </c>
      <c r="K13" s="2">
        <v>26954.1</v>
      </c>
      <c r="L13" s="4">
        <v>32200</v>
      </c>
      <c r="M13" s="4">
        <v>37354.1</v>
      </c>
      <c r="N13" s="4">
        <f t="shared" si="1"/>
        <v>718061</v>
      </c>
      <c r="O13" s="4">
        <f t="shared" si="2"/>
        <v>804945</v>
      </c>
      <c r="P13" s="4">
        <f t="shared" si="3"/>
        <v>442719.75000000006</v>
      </c>
      <c r="Q13" s="40">
        <f t="shared" si="0"/>
        <v>76.25</v>
      </c>
      <c r="R13" s="31">
        <f t="shared" si="0"/>
        <v>81.969696969696969</v>
      </c>
      <c r="S13" s="40">
        <f t="shared" si="0"/>
        <v>5.7679924242424239</v>
      </c>
      <c r="T13" s="31">
        <f t="shared" si="0"/>
        <v>4.1439393939393945</v>
      </c>
    </row>
    <row r="14" spans="1:20" x14ac:dyDescent="0.25">
      <c r="A14" s="7">
        <v>12</v>
      </c>
      <c r="B14" s="5">
        <v>46124</v>
      </c>
      <c r="C14" s="2" t="s">
        <v>21</v>
      </c>
      <c r="D14" s="2">
        <v>382400</v>
      </c>
      <c r="E14" s="2">
        <v>430100</v>
      </c>
      <c r="F14" s="2">
        <v>30035</v>
      </c>
      <c r="G14" s="2">
        <v>20065</v>
      </c>
      <c r="H14" s="2">
        <v>548652.80000000005</v>
      </c>
      <c r="I14" s="2">
        <v>103217.60000000001</v>
      </c>
      <c r="J14" s="2">
        <v>52642</v>
      </c>
      <c r="K14" s="2">
        <v>26608.799999999999</v>
      </c>
      <c r="L14" s="4">
        <v>33000</v>
      </c>
      <c r="M14" s="4">
        <v>38408.800000000003</v>
      </c>
      <c r="N14" s="4">
        <f t="shared" si="1"/>
        <v>696823</v>
      </c>
      <c r="O14" s="4">
        <f t="shared" si="2"/>
        <v>782465</v>
      </c>
      <c r="P14" s="4">
        <f t="shared" si="3"/>
        <v>430355.75000000006</v>
      </c>
      <c r="Q14" s="40">
        <f t="shared" si="0"/>
        <v>72.424242424242422</v>
      </c>
      <c r="R14" s="31">
        <f t="shared" si="0"/>
        <v>81.458333333333329</v>
      </c>
      <c r="S14" s="40">
        <f t="shared" si="0"/>
        <v>5.6884469696969697</v>
      </c>
      <c r="T14" s="31">
        <f t="shared" si="0"/>
        <v>3.800189393939394</v>
      </c>
    </row>
    <row r="15" spans="1:20" x14ac:dyDescent="0.25">
      <c r="A15" s="7">
        <v>13</v>
      </c>
      <c r="B15" s="5">
        <v>46125</v>
      </c>
      <c r="C15" s="2" t="s">
        <v>21</v>
      </c>
      <c r="D15" s="2">
        <v>410400</v>
      </c>
      <c r="E15" s="2">
        <v>414100</v>
      </c>
      <c r="F15" s="2">
        <v>34035</v>
      </c>
      <c r="G15" s="2">
        <v>23885</v>
      </c>
      <c r="H15" s="2">
        <v>557427.4</v>
      </c>
      <c r="I15" s="2">
        <v>103675.8</v>
      </c>
      <c r="J15" s="2">
        <v>56271</v>
      </c>
      <c r="K15" s="2">
        <v>26287.9</v>
      </c>
      <c r="L15" s="4">
        <v>32600</v>
      </c>
      <c r="M15" s="4">
        <v>38087.9</v>
      </c>
      <c r="N15" s="4">
        <f t="shared" si="1"/>
        <v>701594</v>
      </c>
      <c r="O15" s="4">
        <f t="shared" si="2"/>
        <v>790465</v>
      </c>
      <c r="P15" s="4">
        <f t="shared" si="3"/>
        <v>434755.75000000006</v>
      </c>
      <c r="Q15" s="40">
        <f t="shared" si="0"/>
        <v>77.72727272727272</v>
      </c>
      <c r="R15" s="31">
        <f t="shared" si="0"/>
        <v>78.428030303030312</v>
      </c>
      <c r="S15" s="40">
        <f t="shared" si="0"/>
        <v>6.4460227272727266</v>
      </c>
      <c r="T15" s="31">
        <f t="shared" si="0"/>
        <v>4.5236742424242422</v>
      </c>
    </row>
    <row r="16" spans="1:20" x14ac:dyDescent="0.25">
      <c r="A16" s="7">
        <v>14</v>
      </c>
      <c r="B16" s="5">
        <v>46126</v>
      </c>
      <c r="C16" s="2" t="s">
        <v>21</v>
      </c>
      <c r="D16" s="2">
        <v>143700</v>
      </c>
      <c r="E16" s="2">
        <v>365100</v>
      </c>
      <c r="F16" s="2">
        <v>7090</v>
      </c>
      <c r="G16" s="2">
        <v>203870</v>
      </c>
      <c r="H16" s="2">
        <v>503250.4</v>
      </c>
      <c r="I16" s="2">
        <v>80616.800000000003</v>
      </c>
      <c r="J16" s="2">
        <v>28820</v>
      </c>
      <c r="K16" s="2">
        <v>24408.5</v>
      </c>
      <c r="L16" s="4">
        <v>31875.9</v>
      </c>
      <c r="M16" s="4">
        <v>36608.400000000001</v>
      </c>
      <c r="N16" s="4">
        <f t="shared" si="1"/>
        <v>441014.1</v>
      </c>
      <c r="O16" s="4">
        <f t="shared" si="2"/>
        <v>501710</v>
      </c>
      <c r="P16" s="4">
        <f t="shared" si="3"/>
        <v>275940.5</v>
      </c>
      <c r="Q16" s="40">
        <f t="shared" si="0"/>
        <v>27.21590909090909</v>
      </c>
      <c r="R16" s="31">
        <f t="shared" si="0"/>
        <v>69.14772727272728</v>
      </c>
      <c r="S16" s="40">
        <f t="shared" si="0"/>
        <v>1.3428030303030303</v>
      </c>
      <c r="T16" s="31">
        <f t="shared" si="0"/>
        <v>38.611742424242422</v>
      </c>
    </row>
    <row r="17" spans="1:20" x14ac:dyDescent="0.25">
      <c r="A17" s="7">
        <v>15</v>
      </c>
      <c r="B17" s="5">
        <v>46127</v>
      </c>
      <c r="C17" s="2" t="s">
        <v>21</v>
      </c>
      <c r="D17" s="2">
        <v>102500</v>
      </c>
      <c r="E17" s="2">
        <v>394300</v>
      </c>
      <c r="F17" s="2">
        <v>0</v>
      </c>
      <c r="G17" s="2">
        <v>270770</v>
      </c>
      <c r="H17" s="2">
        <v>548025.59999999998</v>
      </c>
      <c r="I17" s="2">
        <v>101075.2</v>
      </c>
      <c r="J17" s="2">
        <v>23194</v>
      </c>
      <c r="K17" s="2">
        <v>24537.599999999999</v>
      </c>
      <c r="L17" s="4">
        <v>34000</v>
      </c>
      <c r="M17" s="4">
        <v>36737.599999999999</v>
      </c>
      <c r="N17" s="4">
        <f t="shared" si="1"/>
        <v>439606</v>
      </c>
      <c r="O17" s="4">
        <f t="shared" si="2"/>
        <v>496800</v>
      </c>
      <c r="P17" s="4">
        <f t="shared" si="3"/>
        <v>273240</v>
      </c>
      <c r="Q17" s="40">
        <f t="shared" si="0"/>
        <v>19.412878787878789</v>
      </c>
      <c r="R17" s="31">
        <f t="shared" si="0"/>
        <v>74.678030303030312</v>
      </c>
      <c r="S17" s="40">
        <f t="shared" si="0"/>
        <v>0</v>
      </c>
      <c r="T17" s="31">
        <f t="shared" si="0"/>
        <v>51.282196969696969</v>
      </c>
    </row>
    <row r="18" spans="1:20" x14ac:dyDescent="0.25">
      <c r="A18" s="7">
        <v>16</v>
      </c>
      <c r="B18" s="5">
        <v>46128</v>
      </c>
      <c r="C18" s="2" t="s">
        <v>21</v>
      </c>
      <c r="D18" s="2">
        <v>215400</v>
      </c>
      <c r="E18" s="2">
        <v>407300</v>
      </c>
      <c r="F18" s="2">
        <v>18130</v>
      </c>
      <c r="G18" s="2">
        <v>172220</v>
      </c>
      <c r="H18" s="2">
        <v>540401.4</v>
      </c>
      <c r="I18" s="2">
        <v>97733.8</v>
      </c>
      <c r="J18" s="2">
        <v>37421</v>
      </c>
      <c r="K18" s="2">
        <v>29366.9</v>
      </c>
      <c r="L18" s="4">
        <v>34100</v>
      </c>
      <c r="M18" s="4">
        <v>37766.9</v>
      </c>
      <c r="N18" s="4">
        <f t="shared" si="1"/>
        <v>533049</v>
      </c>
      <c r="O18" s="4">
        <f t="shared" si="2"/>
        <v>604570</v>
      </c>
      <c r="P18" s="4">
        <f t="shared" si="3"/>
        <v>332513.5</v>
      </c>
      <c r="Q18" s="40">
        <f t="shared" si="0"/>
        <v>40.795454545454547</v>
      </c>
      <c r="R18" s="31">
        <f t="shared" si="0"/>
        <v>77.140151515151516</v>
      </c>
      <c r="S18" s="40">
        <f t="shared" si="0"/>
        <v>3.4337121212121215</v>
      </c>
      <c r="T18" s="31">
        <f t="shared" si="0"/>
        <v>32.617424242424242</v>
      </c>
    </row>
    <row r="19" spans="1:20" x14ac:dyDescent="0.25">
      <c r="A19" s="7">
        <v>17</v>
      </c>
      <c r="B19" s="5">
        <v>46129</v>
      </c>
      <c r="C19" s="2" t="s">
        <v>21</v>
      </c>
      <c r="D19" s="2">
        <v>399200</v>
      </c>
      <c r="E19" s="2">
        <v>441000</v>
      </c>
      <c r="F19" s="2">
        <v>57865</v>
      </c>
      <c r="G19" s="2">
        <v>14780</v>
      </c>
      <c r="H19" s="2">
        <v>543435</v>
      </c>
      <c r="I19" s="2">
        <v>95645</v>
      </c>
      <c r="J19" s="2">
        <v>51690</v>
      </c>
      <c r="K19" s="2">
        <v>28922.5</v>
      </c>
      <c r="L19" s="4">
        <v>37700</v>
      </c>
      <c r="M19" s="4">
        <v>39722.5</v>
      </c>
      <c r="N19" s="4">
        <f t="shared" si="1"/>
        <v>692945</v>
      </c>
      <c r="O19" s="4">
        <f t="shared" si="2"/>
        <v>782335</v>
      </c>
      <c r="P19" s="4">
        <f t="shared" si="3"/>
        <v>430284.25000000006</v>
      </c>
      <c r="Q19" s="40">
        <f t="shared" ref="Q19:T30" si="4">(D19/528000)*100</f>
        <v>75.606060606060609</v>
      </c>
      <c r="R19" s="31">
        <f t="shared" si="4"/>
        <v>83.522727272727266</v>
      </c>
      <c r="S19" s="40">
        <f t="shared" si="4"/>
        <v>10.959280303030303</v>
      </c>
      <c r="T19" s="31">
        <f t="shared" si="4"/>
        <v>2.7992424242424243</v>
      </c>
    </row>
    <row r="20" spans="1:20" x14ac:dyDescent="0.25">
      <c r="A20" s="7">
        <v>18</v>
      </c>
      <c r="B20" s="5">
        <v>46130</v>
      </c>
      <c r="C20" s="2" t="s">
        <v>21</v>
      </c>
      <c r="D20" s="2">
        <v>391700</v>
      </c>
      <c r="E20" s="2">
        <v>400500</v>
      </c>
      <c r="F20" s="2">
        <v>36215</v>
      </c>
      <c r="G20" s="2">
        <v>17425</v>
      </c>
      <c r="H20" s="2">
        <v>529049.4</v>
      </c>
      <c r="I20" s="2">
        <v>96979.8</v>
      </c>
      <c r="J20" s="2">
        <v>52761</v>
      </c>
      <c r="K20" s="2">
        <v>27424.9</v>
      </c>
      <c r="L20" s="4">
        <v>30570</v>
      </c>
      <c r="M20" s="4">
        <v>36624.9</v>
      </c>
      <c r="N20" s="4">
        <f t="shared" si="1"/>
        <v>672654</v>
      </c>
      <c r="O20" s="4">
        <f t="shared" si="2"/>
        <v>755985</v>
      </c>
      <c r="P20" s="4">
        <f t="shared" si="3"/>
        <v>415791.75000000006</v>
      </c>
      <c r="Q20" s="40">
        <f t="shared" si="4"/>
        <v>74.185606060606062</v>
      </c>
      <c r="R20" s="31">
        <f t="shared" si="4"/>
        <v>75.852272727272734</v>
      </c>
      <c r="S20" s="40">
        <f t="shared" si="4"/>
        <v>6.8589015151515147</v>
      </c>
      <c r="T20" s="31">
        <f t="shared" si="4"/>
        <v>3.300189393939394</v>
      </c>
    </row>
    <row r="21" spans="1:20" x14ac:dyDescent="0.25">
      <c r="A21" s="7">
        <v>19</v>
      </c>
      <c r="B21" s="5">
        <v>46131</v>
      </c>
      <c r="C21" s="2" t="s">
        <v>21</v>
      </c>
      <c r="D21" s="2">
        <v>432200</v>
      </c>
      <c r="E21" s="2">
        <v>429700</v>
      </c>
      <c r="F21" s="2">
        <v>33655</v>
      </c>
      <c r="G21" s="2">
        <v>20295</v>
      </c>
      <c r="H21" s="2">
        <v>589829.4</v>
      </c>
      <c r="I21" s="2">
        <v>98509.8</v>
      </c>
      <c r="J21" s="2">
        <v>57291</v>
      </c>
      <c r="K21" s="2">
        <v>28604.9</v>
      </c>
      <c r="L21" s="4">
        <v>35100</v>
      </c>
      <c r="M21" s="4">
        <v>39204.9</v>
      </c>
      <c r="N21" s="4">
        <f t="shared" si="1"/>
        <v>735854</v>
      </c>
      <c r="O21" s="4">
        <f t="shared" si="2"/>
        <v>828245</v>
      </c>
      <c r="P21" s="4">
        <f t="shared" si="3"/>
        <v>455534.75000000006</v>
      </c>
      <c r="Q21" s="40">
        <f t="shared" si="4"/>
        <v>81.856060606060609</v>
      </c>
      <c r="R21" s="31">
        <f t="shared" si="4"/>
        <v>81.382575757575765</v>
      </c>
      <c r="S21" s="40">
        <f t="shared" si="4"/>
        <v>6.3740530303030303</v>
      </c>
      <c r="T21" s="31">
        <f t="shared" si="4"/>
        <v>3.84375</v>
      </c>
    </row>
    <row r="22" spans="1:20" x14ac:dyDescent="0.25">
      <c r="A22" s="7">
        <v>20</v>
      </c>
      <c r="B22" s="5">
        <v>46132</v>
      </c>
      <c r="C22" s="2" t="s">
        <v>21</v>
      </c>
      <c r="D22" s="2">
        <v>357200</v>
      </c>
      <c r="E22" s="2">
        <v>402500</v>
      </c>
      <c r="F22" s="2">
        <v>41340</v>
      </c>
      <c r="G22" s="2">
        <v>15270</v>
      </c>
      <c r="H22" s="2">
        <v>510613.2</v>
      </c>
      <c r="I22" s="2">
        <v>70694.399999999994</v>
      </c>
      <c r="J22" s="2">
        <v>50408</v>
      </c>
      <c r="K22" s="2">
        <v>30002.2</v>
      </c>
      <c r="L22" s="4">
        <v>34310</v>
      </c>
      <c r="M22" s="4">
        <v>37602.199999999997</v>
      </c>
      <c r="N22" s="4">
        <f t="shared" si="1"/>
        <v>633642</v>
      </c>
      <c r="O22" s="4">
        <f t="shared" si="2"/>
        <v>718360</v>
      </c>
      <c r="P22" s="4">
        <f t="shared" si="3"/>
        <v>395098.00000000006</v>
      </c>
      <c r="Q22" s="40">
        <f t="shared" si="4"/>
        <v>67.651515151515156</v>
      </c>
      <c r="R22" s="31">
        <f t="shared" si="4"/>
        <v>76.231060606060609</v>
      </c>
      <c r="S22" s="40">
        <f t="shared" si="4"/>
        <v>7.8295454545454541</v>
      </c>
      <c r="T22" s="31">
        <f t="shared" si="4"/>
        <v>2.8920454545454546</v>
      </c>
    </row>
    <row r="23" spans="1:20" x14ac:dyDescent="0.25">
      <c r="A23" s="7">
        <v>21</v>
      </c>
      <c r="B23" s="5">
        <v>46133</v>
      </c>
      <c r="C23" s="2" t="s">
        <v>21</v>
      </c>
      <c r="D23" s="2">
        <v>435900</v>
      </c>
      <c r="E23" s="2">
        <v>426100</v>
      </c>
      <c r="F23" s="2">
        <v>35900</v>
      </c>
      <c r="G23" s="2">
        <v>10625</v>
      </c>
      <c r="H23" s="2">
        <v>591988.6</v>
      </c>
      <c r="I23" s="2">
        <v>82796.2</v>
      </c>
      <c r="J23" s="2">
        <v>54444</v>
      </c>
      <c r="K23" s="2">
        <v>31948.1</v>
      </c>
      <c r="L23" s="4">
        <v>35600</v>
      </c>
      <c r="M23" s="4">
        <v>39948.1</v>
      </c>
      <c r="N23" s="4">
        <f t="shared" si="1"/>
        <v>736056</v>
      </c>
      <c r="O23" s="4">
        <f t="shared" si="2"/>
        <v>826100</v>
      </c>
      <c r="P23" s="4">
        <f t="shared" si="3"/>
        <v>454355.00000000006</v>
      </c>
      <c r="Q23" s="40">
        <f t="shared" si="4"/>
        <v>82.556818181818187</v>
      </c>
      <c r="R23" s="31">
        <f t="shared" si="4"/>
        <v>80.700757575757578</v>
      </c>
      <c r="S23" s="40">
        <f t="shared" si="4"/>
        <v>6.7992424242424239</v>
      </c>
      <c r="T23" s="31">
        <f t="shared" si="4"/>
        <v>2.012310606060606</v>
      </c>
    </row>
    <row r="24" spans="1:20" x14ac:dyDescent="0.25">
      <c r="A24" s="7">
        <v>22</v>
      </c>
      <c r="B24" s="5">
        <v>46134</v>
      </c>
      <c r="C24" s="2" t="s">
        <v>21</v>
      </c>
      <c r="D24" s="2">
        <v>425700</v>
      </c>
      <c r="E24" s="2">
        <v>452900</v>
      </c>
      <c r="F24" s="2">
        <v>50480</v>
      </c>
      <c r="G24" s="2">
        <v>9215</v>
      </c>
      <c r="H24" s="2">
        <v>575896.80000000005</v>
      </c>
      <c r="I24" s="2">
        <v>100665.60000000001</v>
      </c>
      <c r="J24" s="2">
        <v>51707</v>
      </c>
      <c r="K24" s="2">
        <v>31932.799999999999</v>
      </c>
      <c r="L24" s="4">
        <v>35300</v>
      </c>
      <c r="M24" s="4">
        <v>41832.800000000003</v>
      </c>
      <c r="N24" s="4">
        <f t="shared" si="1"/>
        <v>741113</v>
      </c>
      <c r="O24" s="4">
        <f t="shared" si="2"/>
        <v>828120</v>
      </c>
      <c r="P24" s="4">
        <f t="shared" si="3"/>
        <v>455466.00000000006</v>
      </c>
      <c r="Q24" s="40">
        <f t="shared" si="4"/>
        <v>80.625</v>
      </c>
      <c r="R24" s="31">
        <f t="shared" si="4"/>
        <v>85.776515151515156</v>
      </c>
      <c r="S24" s="40">
        <f t="shared" si="4"/>
        <v>9.5606060606060606</v>
      </c>
      <c r="T24" s="31">
        <f t="shared" si="4"/>
        <v>1.7452651515151514</v>
      </c>
    </row>
    <row r="25" spans="1:20" x14ac:dyDescent="0.25">
      <c r="A25" s="7">
        <v>23</v>
      </c>
      <c r="B25" s="5">
        <v>46135</v>
      </c>
      <c r="C25" s="2" t="s">
        <v>21</v>
      </c>
      <c r="D25" s="2">
        <v>459600</v>
      </c>
      <c r="E25" s="2">
        <v>448900</v>
      </c>
      <c r="F25" s="2">
        <v>66030</v>
      </c>
      <c r="G25" s="2">
        <v>2915</v>
      </c>
      <c r="H25" s="2">
        <v>579875.4</v>
      </c>
      <c r="I25" s="2">
        <v>99791.8</v>
      </c>
      <c r="J25" s="2">
        <v>57126</v>
      </c>
      <c r="K25" s="2">
        <v>31845.9</v>
      </c>
      <c r="L25" s="4">
        <v>34500</v>
      </c>
      <c r="M25" s="4">
        <v>42245.9</v>
      </c>
      <c r="N25" s="4">
        <f t="shared" si="1"/>
        <v>750844</v>
      </c>
      <c r="O25" s="4">
        <f t="shared" si="2"/>
        <v>842470</v>
      </c>
      <c r="P25" s="4">
        <f t="shared" si="3"/>
        <v>463358.50000000006</v>
      </c>
      <c r="Q25" s="40">
        <f t="shared" si="4"/>
        <v>87.045454545454547</v>
      </c>
      <c r="R25" s="31">
        <f t="shared" si="4"/>
        <v>85.018939393939391</v>
      </c>
      <c r="S25" s="40">
        <f t="shared" si="4"/>
        <v>12.505681818181818</v>
      </c>
      <c r="T25" s="31">
        <f t="shared" si="4"/>
        <v>0.55208333333333337</v>
      </c>
    </row>
    <row r="26" spans="1:20" x14ac:dyDescent="0.25">
      <c r="A26" s="7">
        <v>24</v>
      </c>
      <c r="B26" s="5">
        <v>46136</v>
      </c>
      <c r="C26" s="2" t="s">
        <v>21</v>
      </c>
      <c r="D26" s="2">
        <v>211400</v>
      </c>
      <c r="E26" s="2">
        <v>453300</v>
      </c>
      <c r="F26" s="2">
        <v>2870</v>
      </c>
      <c r="G26" s="2">
        <v>183115</v>
      </c>
      <c r="H26" s="2">
        <v>602988.6</v>
      </c>
      <c r="I26" s="2">
        <v>100496.2</v>
      </c>
      <c r="J26" s="2">
        <v>34464</v>
      </c>
      <c r="K26" s="2">
        <v>31448.1</v>
      </c>
      <c r="L26" s="4">
        <v>34600</v>
      </c>
      <c r="M26" s="4">
        <v>40948.1</v>
      </c>
      <c r="N26" s="4">
        <f t="shared" si="1"/>
        <v>592766</v>
      </c>
      <c r="O26" s="4">
        <f t="shared" si="2"/>
        <v>661830</v>
      </c>
      <c r="P26" s="4">
        <f t="shared" si="3"/>
        <v>364006.50000000006</v>
      </c>
      <c r="Q26" s="40">
        <f t="shared" si="4"/>
        <v>40.037878787878789</v>
      </c>
      <c r="R26" s="31">
        <f t="shared" si="4"/>
        <v>85.852272727272734</v>
      </c>
      <c r="S26" s="40">
        <f t="shared" si="4"/>
        <v>0.54356060606060608</v>
      </c>
      <c r="T26" s="31">
        <f t="shared" si="4"/>
        <v>34.680871212121211</v>
      </c>
    </row>
    <row r="27" spans="1:20" x14ac:dyDescent="0.25">
      <c r="A27" s="7">
        <v>25</v>
      </c>
      <c r="B27" s="5">
        <v>46137</v>
      </c>
      <c r="C27" s="2" t="s">
        <v>21</v>
      </c>
      <c r="D27" s="2">
        <v>206200</v>
      </c>
      <c r="E27" s="2">
        <v>445600</v>
      </c>
      <c r="F27" s="2">
        <v>5055</v>
      </c>
      <c r="G27" s="2">
        <v>134570</v>
      </c>
      <c r="H27" s="2">
        <v>568488.80000000005</v>
      </c>
      <c r="I27" s="2">
        <v>80729.600000000006</v>
      </c>
      <c r="J27" s="2">
        <v>26067</v>
      </c>
      <c r="K27" s="2">
        <v>30614.799999999999</v>
      </c>
      <c r="L27" s="4">
        <v>35200</v>
      </c>
      <c r="M27" s="4">
        <v>40214.800000000003</v>
      </c>
      <c r="N27" s="4">
        <f t="shared" si="1"/>
        <v>585478</v>
      </c>
      <c r="O27" s="4">
        <f t="shared" si="2"/>
        <v>646745</v>
      </c>
      <c r="P27" s="4">
        <f t="shared" si="3"/>
        <v>355709.75</v>
      </c>
      <c r="Q27" s="40">
        <f t="shared" si="4"/>
        <v>39.053030303030297</v>
      </c>
      <c r="R27" s="31">
        <f t="shared" si="4"/>
        <v>84.393939393939405</v>
      </c>
      <c r="S27" s="40">
        <f t="shared" si="4"/>
        <v>0.95738636363636354</v>
      </c>
      <c r="T27" s="31">
        <f t="shared" si="4"/>
        <v>25.486742424242426</v>
      </c>
    </row>
    <row r="28" spans="1:20" x14ac:dyDescent="0.25">
      <c r="A28" s="7">
        <v>26</v>
      </c>
      <c r="B28" s="5">
        <v>46138</v>
      </c>
      <c r="C28" s="2" t="s">
        <v>21</v>
      </c>
      <c r="D28" s="2">
        <v>407200</v>
      </c>
      <c r="E28" s="2">
        <v>442700</v>
      </c>
      <c r="F28" s="2">
        <v>43530</v>
      </c>
      <c r="G28" s="2">
        <v>27145</v>
      </c>
      <c r="H28" s="2">
        <v>580777</v>
      </c>
      <c r="I28" s="2">
        <v>93559</v>
      </c>
      <c r="J28" s="2">
        <v>53220</v>
      </c>
      <c r="K28" s="2">
        <v>30229.5</v>
      </c>
      <c r="L28" s="4">
        <v>35700</v>
      </c>
      <c r="M28" s="4">
        <v>40029.5</v>
      </c>
      <c r="N28" s="4">
        <f t="shared" si="1"/>
        <v>717450</v>
      </c>
      <c r="O28" s="4">
        <f t="shared" si="2"/>
        <v>806370</v>
      </c>
      <c r="P28" s="4">
        <f t="shared" si="3"/>
        <v>443503.50000000006</v>
      </c>
      <c r="Q28" s="40">
        <f t="shared" si="4"/>
        <v>77.121212121212125</v>
      </c>
      <c r="R28" s="31">
        <f t="shared" si="4"/>
        <v>83.844696969696969</v>
      </c>
      <c r="S28" s="40">
        <f t="shared" si="4"/>
        <v>8.2443181818181817</v>
      </c>
      <c r="T28" s="31">
        <f t="shared" si="4"/>
        <v>5.1410984848484853</v>
      </c>
    </row>
    <row r="29" spans="1:20" x14ac:dyDescent="0.25">
      <c r="A29" s="7">
        <v>27</v>
      </c>
      <c r="B29" s="5">
        <v>46139</v>
      </c>
      <c r="C29" s="2" t="s">
        <v>21</v>
      </c>
      <c r="D29" s="2">
        <v>473700</v>
      </c>
      <c r="E29" s="2">
        <v>418700</v>
      </c>
      <c r="F29" s="2">
        <v>53070</v>
      </c>
      <c r="G29" s="2">
        <v>7185</v>
      </c>
      <c r="H29" s="2">
        <v>577843.4</v>
      </c>
      <c r="I29" s="2">
        <v>103747.8</v>
      </c>
      <c r="J29" s="2">
        <v>60276</v>
      </c>
      <c r="K29" s="2">
        <v>31073.9</v>
      </c>
      <c r="L29" s="4">
        <v>35200</v>
      </c>
      <c r="M29" s="4">
        <v>38373.9</v>
      </c>
      <c r="N29" s="4">
        <f t="shared" si="1"/>
        <v>743854</v>
      </c>
      <c r="O29" s="4">
        <f t="shared" si="2"/>
        <v>839330</v>
      </c>
      <c r="P29" s="4">
        <f t="shared" si="3"/>
        <v>461631.50000000006</v>
      </c>
      <c r="Q29" s="40">
        <f t="shared" si="4"/>
        <v>89.715909090909093</v>
      </c>
      <c r="R29" s="31">
        <f t="shared" si="4"/>
        <v>79.299242424242422</v>
      </c>
      <c r="S29" s="40">
        <f t="shared" si="4"/>
        <v>10.051136363636363</v>
      </c>
      <c r="T29" s="31">
        <f t="shared" si="4"/>
        <v>1.3607954545454544</v>
      </c>
    </row>
    <row r="30" spans="1:20" x14ac:dyDescent="0.25">
      <c r="A30" s="7">
        <v>28</v>
      </c>
      <c r="B30" s="5">
        <v>46140</v>
      </c>
      <c r="C30" s="33" t="s">
        <v>21</v>
      </c>
      <c r="D30" s="33">
        <v>476900</v>
      </c>
      <c r="E30" s="33">
        <v>406000</v>
      </c>
      <c r="F30" s="33">
        <v>55665</v>
      </c>
      <c r="G30" s="33">
        <v>2530</v>
      </c>
      <c r="H30" s="33">
        <v>572752.19999999995</v>
      </c>
      <c r="I30" s="33">
        <v>93117.4</v>
      </c>
      <c r="J30" s="33">
        <v>59678</v>
      </c>
      <c r="K30" s="33">
        <v>31058.7</v>
      </c>
      <c r="L30" s="35">
        <v>34500</v>
      </c>
      <c r="M30" s="36">
        <v>38658.699999999997</v>
      </c>
      <c r="N30" s="4">
        <f t="shared" si="1"/>
        <v>733057</v>
      </c>
      <c r="O30" s="4">
        <f t="shared" si="2"/>
        <v>827235</v>
      </c>
      <c r="P30" s="4">
        <f t="shared" si="3"/>
        <v>454979.25000000006</v>
      </c>
      <c r="Q30" s="41">
        <f t="shared" si="4"/>
        <v>90.321969696969688</v>
      </c>
      <c r="R30" s="38">
        <f t="shared" si="4"/>
        <v>76.893939393939391</v>
      </c>
      <c r="S30" s="41">
        <f t="shared" si="4"/>
        <v>10.542613636363637</v>
      </c>
      <c r="T30" s="38">
        <f t="shared" si="4"/>
        <v>0.47916666666666663</v>
      </c>
    </row>
    <row r="31" spans="1:20" x14ac:dyDescent="0.25">
      <c r="A31" s="7">
        <v>29</v>
      </c>
      <c r="B31" s="5">
        <v>46141</v>
      </c>
      <c r="C31" s="33" t="s">
        <v>21</v>
      </c>
      <c r="D31" s="2">
        <v>457000</v>
      </c>
      <c r="E31" s="2">
        <v>407200</v>
      </c>
      <c r="F31" s="2">
        <v>82485</v>
      </c>
      <c r="G31" s="2">
        <v>395</v>
      </c>
      <c r="H31" s="2">
        <v>531366</v>
      </c>
      <c r="I31" s="2">
        <v>92522</v>
      </c>
      <c r="J31" s="2">
        <v>55300</v>
      </c>
      <c r="K31" s="2">
        <v>31111</v>
      </c>
      <c r="L31" s="4">
        <v>33000</v>
      </c>
      <c r="M31" s="4">
        <v>38811</v>
      </c>
      <c r="N31" s="4">
        <f t="shared" si="1"/>
        <v>693415</v>
      </c>
      <c r="O31" s="4">
        <f t="shared" si="2"/>
        <v>781715</v>
      </c>
      <c r="P31" s="4">
        <f t="shared" si="3"/>
        <v>429943.25000000006</v>
      </c>
      <c r="Q31" s="41"/>
      <c r="R31" s="38"/>
      <c r="S31" s="41"/>
      <c r="T31" s="38"/>
    </row>
    <row r="32" spans="1:20" x14ac:dyDescent="0.25">
      <c r="A32" s="7">
        <v>30</v>
      </c>
      <c r="B32" s="5">
        <v>46142</v>
      </c>
      <c r="C32" s="33" t="s">
        <v>21</v>
      </c>
      <c r="D32" s="2">
        <v>446200</v>
      </c>
      <c r="E32" s="2">
        <v>420000</v>
      </c>
      <c r="F32" s="2">
        <v>54845</v>
      </c>
      <c r="G32" s="2">
        <v>3510</v>
      </c>
      <c r="H32" s="2">
        <v>574194.4</v>
      </c>
      <c r="I32" s="2">
        <v>87664.8</v>
      </c>
      <c r="J32" s="2">
        <v>52741</v>
      </c>
      <c r="K32" s="2">
        <v>30032.400000000001</v>
      </c>
      <c r="L32" s="4">
        <v>31400</v>
      </c>
      <c r="M32" s="4">
        <v>38832.400000000001</v>
      </c>
      <c r="N32" s="4">
        <f t="shared" si="1"/>
        <v>727214</v>
      </c>
      <c r="O32" s="4">
        <f t="shared" si="2"/>
        <v>811355</v>
      </c>
      <c r="P32" s="4">
        <f t="shared" si="3"/>
        <v>446245.25000000006</v>
      </c>
      <c r="Q32" s="41"/>
      <c r="R32" s="38"/>
      <c r="S32" s="41"/>
      <c r="T32" s="38"/>
    </row>
    <row r="33" spans="3:20" x14ac:dyDescent="0.25">
      <c r="C33" s="8" t="s">
        <v>15</v>
      </c>
      <c r="D33" s="8">
        <f t="shared" ref="D33:M33" si="5">SUM(D3:D32)</f>
        <v>11569700</v>
      </c>
      <c r="E33" s="8">
        <f t="shared" si="5"/>
        <v>9573800</v>
      </c>
      <c r="F33" s="8">
        <f t="shared" si="5"/>
        <v>789260</v>
      </c>
      <c r="G33" s="8">
        <f t="shared" si="5"/>
        <v>3466710</v>
      </c>
      <c r="H33" s="8">
        <f t="shared" si="5"/>
        <v>16901597.400000002</v>
      </c>
      <c r="I33" s="23">
        <f t="shared" si="5"/>
        <v>2778885.8</v>
      </c>
      <c r="J33" s="8">
        <f t="shared" si="5"/>
        <v>1523145</v>
      </c>
      <c r="K33" s="8">
        <f t="shared" si="5"/>
        <v>877033</v>
      </c>
      <c r="L33" s="8">
        <f t="shared" si="5"/>
        <v>800855.9</v>
      </c>
      <c r="M33" s="8">
        <f t="shared" si="5"/>
        <v>939432.90000000014</v>
      </c>
      <c r="N33" s="54">
        <f t="shared" si="1"/>
        <v>18030239.100000001</v>
      </c>
      <c r="O33" s="54">
        <f t="shared" si="2"/>
        <v>20354240</v>
      </c>
      <c r="P33" s="54">
        <f t="shared" si="3"/>
        <v>11194832</v>
      </c>
      <c r="Q33" s="47">
        <f>SUM(Q3:Q30)/30</f>
        <v>67.339015151515142</v>
      </c>
      <c r="R33" s="13">
        <f>SUM(R3:R30)/30</f>
        <v>55.21843434343436</v>
      </c>
      <c r="S33" s="47">
        <f>SUM(S3:S30)/30</f>
        <v>4.1157196969696974</v>
      </c>
      <c r="T33" s="13">
        <f>SUM(T3:T30)/30</f>
        <v>21.861142676767674</v>
      </c>
    </row>
    <row r="34" spans="3:20" x14ac:dyDescent="0.25">
      <c r="C34" s="8" t="s">
        <v>16</v>
      </c>
      <c r="D34" s="2">
        <v>11569700</v>
      </c>
      <c r="E34" s="2"/>
      <c r="F34" s="2"/>
      <c r="G34" s="2">
        <v>3575760</v>
      </c>
      <c r="H34" s="2"/>
      <c r="I34" s="2"/>
      <c r="J34" s="2"/>
      <c r="K34" s="2"/>
      <c r="L34" s="2"/>
      <c r="M34" s="2"/>
      <c r="N34" s="2"/>
      <c r="O34" s="2"/>
      <c r="P34" s="2"/>
      <c r="Q34" s="58"/>
      <c r="R34" s="2"/>
      <c r="S34" s="58"/>
      <c r="T34" s="2"/>
    </row>
    <row r="35" spans="3:20" x14ac:dyDescent="0.25">
      <c r="C35" s="8" t="s">
        <v>17</v>
      </c>
      <c r="D35" s="2">
        <v>0</v>
      </c>
      <c r="E35" s="2"/>
      <c r="F35" s="56"/>
      <c r="G35" s="56"/>
      <c r="H35" s="60"/>
      <c r="I35" s="61"/>
      <c r="J35" s="61"/>
      <c r="K35" s="61"/>
      <c r="L35" s="61"/>
      <c r="M35" s="62"/>
      <c r="N35" s="2"/>
      <c r="O35" s="2"/>
      <c r="P35" s="2"/>
      <c r="Q35" s="2"/>
      <c r="R35" s="4"/>
      <c r="S35" s="2"/>
      <c r="T35" s="4"/>
    </row>
    <row r="36" spans="3:20" x14ac:dyDescent="0.25">
      <c r="C36" s="8" t="s">
        <v>18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3:20" x14ac:dyDescent="0.25">
      <c r="C37" s="8" t="s">
        <v>19</v>
      </c>
      <c r="D37" s="2">
        <v>772740.2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3:20" x14ac:dyDescent="0.25">
      <c r="C38" s="8" t="s">
        <v>20</v>
      </c>
      <c r="D38" s="2">
        <v>784309.9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3:20" x14ac:dyDescent="0.25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1" spans="3:20" x14ac:dyDescent="0.25">
      <c r="G41" s="48"/>
      <c r="H41" s="48"/>
      <c r="K41" s="51"/>
    </row>
    <row r="42" spans="3:20" x14ac:dyDescent="0.25">
      <c r="F42" s="48"/>
      <c r="G42" s="48"/>
      <c r="H42" s="48"/>
      <c r="I42" s="48"/>
      <c r="J42" s="48"/>
      <c r="K42" s="48"/>
    </row>
    <row r="43" spans="3:20" x14ac:dyDescent="0.25">
      <c r="F43" s="48"/>
      <c r="J43" s="48"/>
    </row>
    <row r="44" spans="3:20" x14ac:dyDescent="0.25">
      <c r="H44" s="48"/>
    </row>
  </sheetData>
  <mergeCells count="2">
    <mergeCell ref="A1:T1"/>
    <mergeCell ref="H35:M35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45"/>
  <sheetViews>
    <sheetView tabSelected="1" zoomScaleNormal="100" workbookViewId="0">
      <selection activeCell="A3" sqref="A3:T33"/>
    </sheetView>
  </sheetViews>
  <sheetFormatPr defaultRowHeight="15" x14ac:dyDescent="0.25"/>
  <cols>
    <col min="2" max="2" width="10.42578125" bestFit="1" customWidth="1"/>
    <col min="3" max="3" width="18.5703125" bestFit="1" customWidth="1"/>
    <col min="4" max="4" width="11.140625" customWidth="1"/>
    <col min="5" max="5" width="18.85546875" customWidth="1"/>
    <col min="6" max="6" width="14.5703125" customWidth="1"/>
    <col min="7" max="7" width="11.5703125" bestFit="1" customWidth="1"/>
    <col min="9" max="9" width="11.5703125" bestFit="1" customWidth="1"/>
    <col min="10" max="10" width="13.85546875" customWidth="1"/>
    <col min="11" max="11" width="13.5703125" customWidth="1"/>
    <col min="12" max="12" width="10.42578125" customWidth="1"/>
    <col min="14" max="14" width="11.28515625" customWidth="1"/>
    <col min="15" max="15" width="11" customWidth="1"/>
    <col min="17" max="17" width="14" customWidth="1"/>
    <col min="18" max="18" width="11.140625" customWidth="1"/>
  </cols>
  <sheetData>
    <row r="1" spans="1:20" ht="40.5" customHeight="1" thickBot="1" x14ac:dyDescent="0.3">
      <c r="A1" s="59" t="s">
        <v>134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</row>
    <row r="2" spans="1:20" ht="76.5" customHeight="1" thickBot="1" x14ac:dyDescent="0.3">
      <c r="A2" s="9" t="s">
        <v>0</v>
      </c>
      <c r="B2" s="10" t="s">
        <v>1</v>
      </c>
      <c r="C2" s="10" t="s">
        <v>2</v>
      </c>
      <c r="D2" s="21" t="s">
        <v>56</v>
      </c>
      <c r="E2" s="21" t="s">
        <v>57</v>
      </c>
      <c r="F2" s="21" t="s">
        <v>4</v>
      </c>
      <c r="G2" s="21" t="s">
        <v>5</v>
      </c>
      <c r="H2" s="21" t="s">
        <v>6</v>
      </c>
      <c r="I2" s="21" t="s">
        <v>7</v>
      </c>
      <c r="J2" s="21" t="s">
        <v>64</v>
      </c>
      <c r="K2" s="21" t="s">
        <v>66</v>
      </c>
      <c r="L2" s="21" t="s">
        <v>100</v>
      </c>
      <c r="M2" s="21" t="s">
        <v>67</v>
      </c>
      <c r="N2" s="21" t="s">
        <v>10</v>
      </c>
      <c r="O2" s="21" t="s">
        <v>11</v>
      </c>
      <c r="P2" s="10" t="s">
        <v>12</v>
      </c>
      <c r="Q2" s="45" t="s">
        <v>54</v>
      </c>
      <c r="R2" s="46" t="s">
        <v>55</v>
      </c>
      <c r="S2" s="45" t="s">
        <v>54</v>
      </c>
      <c r="T2" s="46" t="s">
        <v>55</v>
      </c>
    </row>
    <row r="3" spans="1:20" x14ac:dyDescent="0.25">
      <c r="A3" s="6">
        <v>1</v>
      </c>
      <c r="B3" s="5">
        <v>46082</v>
      </c>
      <c r="C3" s="4" t="s">
        <v>21</v>
      </c>
      <c r="D3" s="4">
        <v>400500</v>
      </c>
      <c r="E3" s="4">
        <v>425000</v>
      </c>
      <c r="F3" s="4">
        <v>13400</v>
      </c>
      <c r="G3" s="4">
        <v>50210</v>
      </c>
      <c r="H3" s="4">
        <v>611078.19999999995</v>
      </c>
      <c r="I3" s="4">
        <v>101059.4</v>
      </c>
      <c r="J3" s="4">
        <v>53313</v>
      </c>
      <c r="K3" s="4">
        <v>28279.7</v>
      </c>
      <c r="L3" s="4">
        <v>29600</v>
      </c>
      <c r="M3" s="4">
        <v>38979.699999999997</v>
      </c>
      <c r="N3" s="4">
        <f>(D3+E3)-F3-J3-L3</f>
        <v>729187</v>
      </c>
      <c r="O3" s="4">
        <f>(D3+E3)-F3</f>
        <v>812100</v>
      </c>
      <c r="P3" s="4">
        <f>O3*0.55</f>
        <v>446655.00000000006</v>
      </c>
      <c r="Q3" s="40">
        <f t="shared" ref="Q3:T18" si="0">(D3/528000)*100</f>
        <v>75.852272727272734</v>
      </c>
      <c r="R3" s="31">
        <f t="shared" si="0"/>
        <v>80.492424242424249</v>
      </c>
      <c r="S3" s="40">
        <f t="shared" si="0"/>
        <v>2.5378787878787881</v>
      </c>
      <c r="T3" s="31">
        <f t="shared" si="0"/>
        <v>9.5094696969696972</v>
      </c>
    </row>
    <row r="4" spans="1:20" x14ac:dyDescent="0.25">
      <c r="A4" s="7">
        <v>2</v>
      </c>
      <c r="B4" s="5">
        <v>46083</v>
      </c>
      <c r="C4" s="2" t="s">
        <v>21</v>
      </c>
      <c r="D4" s="2">
        <v>400300</v>
      </c>
      <c r="E4" s="2">
        <v>438200</v>
      </c>
      <c r="F4" s="2">
        <v>11640</v>
      </c>
      <c r="G4" s="2">
        <v>55790</v>
      </c>
      <c r="H4" s="2">
        <v>629492</v>
      </c>
      <c r="I4" s="2">
        <v>101264</v>
      </c>
      <c r="J4" s="2">
        <v>54330</v>
      </c>
      <c r="K4" s="2">
        <v>27982</v>
      </c>
      <c r="L4" s="4">
        <v>30600</v>
      </c>
      <c r="M4" s="4">
        <v>38982</v>
      </c>
      <c r="N4" s="4">
        <f t="shared" ref="N4:N34" si="1">(D4+E4)-F4-J4-L4</f>
        <v>741930</v>
      </c>
      <c r="O4" s="4">
        <f t="shared" ref="O4:O34" si="2">(D4+E4)-F4</f>
        <v>826860</v>
      </c>
      <c r="P4" s="4">
        <f t="shared" ref="P4:P34" si="3">O4*0.55</f>
        <v>454773.00000000006</v>
      </c>
      <c r="Q4" s="40">
        <f t="shared" si="0"/>
        <v>75.814393939393938</v>
      </c>
      <c r="R4" s="31">
        <f t="shared" si="0"/>
        <v>82.992424242424249</v>
      </c>
      <c r="S4" s="40">
        <f t="shared" si="0"/>
        <v>2.2045454545454546</v>
      </c>
      <c r="T4" s="31">
        <f t="shared" si="0"/>
        <v>10.566287878787879</v>
      </c>
    </row>
    <row r="5" spans="1:20" x14ac:dyDescent="0.25">
      <c r="A5" s="7">
        <v>3</v>
      </c>
      <c r="B5" s="5">
        <v>46084</v>
      </c>
      <c r="C5" s="2" t="s">
        <v>21</v>
      </c>
      <c r="D5" s="2">
        <v>402700</v>
      </c>
      <c r="E5" s="2">
        <v>432300</v>
      </c>
      <c r="F5" s="2">
        <v>12120</v>
      </c>
      <c r="G5" s="2">
        <v>67460</v>
      </c>
      <c r="H5" s="2">
        <v>624615</v>
      </c>
      <c r="I5" s="2">
        <v>110205</v>
      </c>
      <c r="J5" s="2">
        <v>53915</v>
      </c>
      <c r="K5" s="2">
        <v>31102.5</v>
      </c>
      <c r="L5" s="4">
        <v>31100</v>
      </c>
      <c r="M5" s="4">
        <v>39402.5</v>
      </c>
      <c r="N5" s="4">
        <f t="shared" si="1"/>
        <v>737865</v>
      </c>
      <c r="O5" s="4">
        <f t="shared" si="2"/>
        <v>822880</v>
      </c>
      <c r="P5" s="4">
        <f t="shared" si="3"/>
        <v>452584.00000000006</v>
      </c>
      <c r="Q5" s="40">
        <f t="shared" si="0"/>
        <v>76.268939393939391</v>
      </c>
      <c r="R5" s="31">
        <f t="shared" si="0"/>
        <v>81.875</v>
      </c>
      <c r="S5" s="40">
        <f t="shared" si="0"/>
        <v>2.2954545454545454</v>
      </c>
      <c r="T5" s="31">
        <f t="shared" si="0"/>
        <v>12.776515151515152</v>
      </c>
    </row>
    <row r="6" spans="1:20" x14ac:dyDescent="0.25">
      <c r="A6" s="7">
        <v>4</v>
      </c>
      <c r="B6" s="5">
        <v>46085</v>
      </c>
      <c r="C6" s="2" t="s">
        <v>21</v>
      </c>
      <c r="D6" s="2">
        <v>391800</v>
      </c>
      <c r="E6" s="2">
        <v>438600</v>
      </c>
      <c r="F6" s="2">
        <v>13515</v>
      </c>
      <c r="G6" s="2">
        <v>46520</v>
      </c>
      <c r="H6" s="2">
        <v>618074.4</v>
      </c>
      <c r="I6" s="2">
        <v>92924.800000000003</v>
      </c>
      <c r="J6" s="2">
        <v>51381</v>
      </c>
      <c r="K6" s="2">
        <v>31112.400000000001</v>
      </c>
      <c r="L6" s="4">
        <v>30700</v>
      </c>
      <c r="M6" s="4">
        <v>39212.400000000001</v>
      </c>
      <c r="N6" s="4">
        <f t="shared" si="1"/>
        <v>734804</v>
      </c>
      <c r="O6" s="4">
        <f t="shared" si="2"/>
        <v>816885</v>
      </c>
      <c r="P6" s="4">
        <f t="shared" si="3"/>
        <v>449286.75000000006</v>
      </c>
      <c r="Q6" s="40">
        <f t="shared" si="0"/>
        <v>74.204545454545453</v>
      </c>
      <c r="R6" s="31">
        <f t="shared" si="0"/>
        <v>83.068181818181813</v>
      </c>
      <c r="S6" s="40">
        <f t="shared" si="0"/>
        <v>2.5596590909090908</v>
      </c>
      <c r="T6" s="31">
        <f t="shared" si="0"/>
        <v>8.8106060606060606</v>
      </c>
    </row>
    <row r="7" spans="1:20" x14ac:dyDescent="0.25">
      <c r="A7" s="7">
        <v>5</v>
      </c>
      <c r="B7" s="5">
        <v>46086</v>
      </c>
      <c r="C7" s="2" t="s">
        <v>21</v>
      </c>
      <c r="D7" s="2">
        <v>380900</v>
      </c>
      <c r="E7" s="2">
        <v>437600</v>
      </c>
      <c r="F7" s="2">
        <v>10950</v>
      </c>
      <c r="G7" s="2">
        <v>59760</v>
      </c>
      <c r="H7" s="2">
        <v>619791.19999999995</v>
      </c>
      <c r="I7" s="2">
        <v>91830.399999999994</v>
      </c>
      <c r="J7" s="2">
        <v>52958</v>
      </c>
      <c r="K7" s="2">
        <v>31115.200000000001</v>
      </c>
      <c r="L7" s="4">
        <v>31900</v>
      </c>
      <c r="M7" s="4">
        <v>39715.199999999997</v>
      </c>
      <c r="N7" s="4">
        <f t="shared" si="1"/>
        <v>722692</v>
      </c>
      <c r="O7" s="4">
        <f t="shared" si="2"/>
        <v>807550</v>
      </c>
      <c r="P7" s="4">
        <f t="shared" si="3"/>
        <v>444152.50000000006</v>
      </c>
      <c r="Q7" s="40">
        <f t="shared" si="0"/>
        <v>72.140151515151516</v>
      </c>
      <c r="R7" s="31">
        <f t="shared" si="0"/>
        <v>82.878787878787875</v>
      </c>
      <c r="S7" s="40">
        <f t="shared" si="0"/>
        <v>2.0738636363636367</v>
      </c>
      <c r="T7" s="31">
        <f t="shared" si="0"/>
        <v>11.318181818181818</v>
      </c>
    </row>
    <row r="8" spans="1:20" x14ac:dyDescent="0.25">
      <c r="A8" s="7">
        <v>6</v>
      </c>
      <c r="B8" s="5">
        <v>46087</v>
      </c>
      <c r="C8" s="2" t="s">
        <v>21</v>
      </c>
      <c r="D8" s="2">
        <v>401900</v>
      </c>
      <c r="E8" s="2">
        <v>430000</v>
      </c>
      <c r="F8" s="2">
        <v>12795</v>
      </c>
      <c r="G8" s="2">
        <v>59010</v>
      </c>
      <c r="H8" s="2">
        <v>627654</v>
      </c>
      <c r="I8" s="2">
        <v>96018</v>
      </c>
      <c r="J8" s="2">
        <v>53525</v>
      </c>
      <c r="K8" s="2">
        <v>30259</v>
      </c>
      <c r="L8" s="4">
        <v>31600</v>
      </c>
      <c r="M8" s="4">
        <v>39059</v>
      </c>
      <c r="N8" s="4">
        <f t="shared" si="1"/>
        <v>733980</v>
      </c>
      <c r="O8" s="4">
        <f t="shared" si="2"/>
        <v>819105</v>
      </c>
      <c r="P8" s="4">
        <f t="shared" si="3"/>
        <v>450507.75000000006</v>
      </c>
      <c r="Q8" s="40">
        <f t="shared" si="0"/>
        <v>76.117424242424249</v>
      </c>
      <c r="R8" s="31">
        <f t="shared" si="0"/>
        <v>81.439393939393938</v>
      </c>
      <c r="S8" s="40">
        <f t="shared" si="0"/>
        <v>2.4232954545454546</v>
      </c>
      <c r="T8" s="31">
        <f t="shared" si="0"/>
        <v>11.176136363636363</v>
      </c>
    </row>
    <row r="9" spans="1:20" x14ac:dyDescent="0.25">
      <c r="A9" s="7">
        <v>7</v>
      </c>
      <c r="B9" s="5">
        <v>46088</v>
      </c>
      <c r="C9" s="2" t="s">
        <v>21</v>
      </c>
      <c r="D9" s="2">
        <v>410900</v>
      </c>
      <c r="E9" s="2">
        <v>430600</v>
      </c>
      <c r="F9" s="2">
        <v>11315</v>
      </c>
      <c r="G9" s="2">
        <v>59530</v>
      </c>
      <c r="H9" s="2">
        <v>625577.80000000005</v>
      </c>
      <c r="I9" s="2">
        <v>110292.6</v>
      </c>
      <c r="J9" s="2">
        <v>54152</v>
      </c>
      <c r="K9" s="2">
        <v>29196.3</v>
      </c>
      <c r="L9" s="4">
        <v>31900</v>
      </c>
      <c r="M9" s="4">
        <v>38596.300000000003</v>
      </c>
      <c r="N9" s="4">
        <f t="shared" si="1"/>
        <v>744133</v>
      </c>
      <c r="O9" s="4">
        <f t="shared" si="2"/>
        <v>830185</v>
      </c>
      <c r="P9" s="4">
        <f t="shared" si="3"/>
        <v>456601.75000000006</v>
      </c>
      <c r="Q9" s="40">
        <f t="shared" si="0"/>
        <v>77.821969696969688</v>
      </c>
      <c r="R9" s="31">
        <f t="shared" si="0"/>
        <v>81.553030303030312</v>
      </c>
      <c r="S9" s="40">
        <f t="shared" si="0"/>
        <v>2.1429924242424243</v>
      </c>
      <c r="T9" s="31">
        <f t="shared" si="0"/>
        <v>11.274621212121213</v>
      </c>
    </row>
    <row r="10" spans="1:20" x14ac:dyDescent="0.25">
      <c r="A10" s="7">
        <v>8</v>
      </c>
      <c r="B10" s="5">
        <v>46089</v>
      </c>
      <c r="C10" s="2" t="s">
        <v>21</v>
      </c>
      <c r="D10" s="2">
        <v>410000</v>
      </c>
      <c r="E10" s="2">
        <v>429700</v>
      </c>
      <c r="F10" s="2">
        <v>13685</v>
      </c>
      <c r="G10" s="2">
        <v>55100</v>
      </c>
      <c r="H10" s="2">
        <v>612305</v>
      </c>
      <c r="I10" s="2">
        <v>112135</v>
      </c>
      <c r="J10" s="2">
        <v>56540</v>
      </c>
      <c r="K10" s="2">
        <v>28617.5</v>
      </c>
      <c r="L10" s="4">
        <v>32500</v>
      </c>
      <c r="M10" s="4">
        <v>39017.5</v>
      </c>
      <c r="N10" s="4">
        <f t="shared" si="1"/>
        <v>736975</v>
      </c>
      <c r="O10" s="4">
        <f t="shared" si="2"/>
        <v>826015</v>
      </c>
      <c r="P10" s="4">
        <f t="shared" si="3"/>
        <v>454308.25000000006</v>
      </c>
      <c r="Q10" s="40">
        <f t="shared" si="0"/>
        <v>77.651515151515156</v>
      </c>
      <c r="R10" s="31">
        <f t="shared" si="0"/>
        <v>81.382575757575765</v>
      </c>
      <c r="S10" s="40">
        <f t="shared" si="0"/>
        <v>2.5918560606060606</v>
      </c>
      <c r="T10" s="31">
        <f t="shared" si="0"/>
        <v>10.435606060606061</v>
      </c>
    </row>
    <row r="11" spans="1:20" x14ac:dyDescent="0.25">
      <c r="A11" s="7">
        <v>9</v>
      </c>
      <c r="B11" s="5">
        <v>46090</v>
      </c>
      <c r="C11" s="2" t="s">
        <v>21</v>
      </c>
      <c r="D11" s="2">
        <v>405800</v>
      </c>
      <c r="E11" s="2">
        <v>429800</v>
      </c>
      <c r="F11" s="2">
        <v>23015</v>
      </c>
      <c r="G11" s="2">
        <v>32580</v>
      </c>
      <c r="H11" s="2">
        <v>593387.80000000005</v>
      </c>
      <c r="I11" s="2">
        <v>95962.6</v>
      </c>
      <c r="J11" s="2">
        <v>56552</v>
      </c>
      <c r="K11" s="2">
        <v>28581.3</v>
      </c>
      <c r="L11" s="4">
        <v>31900</v>
      </c>
      <c r="M11" s="4">
        <v>38781.300000000003</v>
      </c>
      <c r="N11" s="4">
        <f t="shared" si="1"/>
        <v>724133</v>
      </c>
      <c r="O11" s="4">
        <f t="shared" si="2"/>
        <v>812585</v>
      </c>
      <c r="P11" s="4">
        <f t="shared" si="3"/>
        <v>446921.75000000006</v>
      </c>
      <c r="Q11" s="40">
        <f t="shared" si="0"/>
        <v>76.856060606060609</v>
      </c>
      <c r="R11" s="31">
        <f t="shared" si="0"/>
        <v>81.401515151515142</v>
      </c>
      <c r="S11" s="40">
        <f t="shared" si="0"/>
        <v>4.3589015151515147</v>
      </c>
      <c r="T11" s="31">
        <f t="shared" si="0"/>
        <v>6.1704545454545459</v>
      </c>
    </row>
    <row r="12" spans="1:20" x14ac:dyDescent="0.25">
      <c r="A12" s="7">
        <v>10</v>
      </c>
      <c r="B12" s="5">
        <v>46091</v>
      </c>
      <c r="C12" s="2" t="s">
        <v>21</v>
      </c>
      <c r="D12" s="2">
        <v>405000</v>
      </c>
      <c r="E12" s="2">
        <v>421800</v>
      </c>
      <c r="F12" s="2">
        <v>25085</v>
      </c>
      <c r="G12" s="2">
        <v>24350</v>
      </c>
      <c r="H12" s="2">
        <v>596301</v>
      </c>
      <c r="I12" s="2">
        <v>73567</v>
      </c>
      <c r="J12" s="2">
        <v>55930</v>
      </c>
      <c r="K12" s="2">
        <v>28083.5</v>
      </c>
      <c r="L12" s="4">
        <v>32200</v>
      </c>
      <c r="M12" s="4">
        <v>39983.5</v>
      </c>
      <c r="N12" s="4">
        <f t="shared" si="1"/>
        <v>713585</v>
      </c>
      <c r="O12" s="4">
        <f t="shared" si="2"/>
        <v>801715</v>
      </c>
      <c r="P12" s="4">
        <f t="shared" si="3"/>
        <v>440943.25000000006</v>
      </c>
      <c r="Q12" s="40">
        <f t="shared" si="0"/>
        <v>76.704545454545453</v>
      </c>
      <c r="R12" s="31">
        <f t="shared" si="0"/>
        <v>79.886363636363626</v>
      </c>
      <c r="S12" s="40">
        <f t="shared" si="0"/>
        <v>4.7509469696969697</v>
      </c>
      <c r="T12" s="31">
        <f t="shared" si="0"/>
        <v>4.6117424242424248</v>
      </c>
    </row>
    <row r="13" spans="1:20" x14ac:dyDescent="0.25">
      <c r="A13" s="7">
        <v>11</v>
      </c>
      <c r="B13" s="5">
        <v>46092</v>
      </c>
      <c r="C13" s="2" t="s">
        <v>21</v>
      </c>
      <c r="D13" s="2">
        <v>408600</v>
      </c>
      <c r="E13" s="2">
        <v>431900</v>
      </c>
      <c r="F13" s="2">
        <v>24170</v>
      </c>
      <c r="G13" s="2">
        <v>29180</v>
      </c>
      <c r="H13" s="2">
        <v>600926.6</v>
      </c>
      <c r="I13" s="2">
        <v>90242.2</v>
      </c>
      <c r="J13" s="2">
        <v>54299</v>
      </c>
      <c r="K13" s="2">
        <v>29471.1</v>
      </c>
      <c r="L13" s="4">
        <v>31900</v>
      </c>
      <c r="M13" s="4">
        <v>38671.1</v>
      </c>
      <c r="N13" s="4">
        <f t="shared" si="1"/>
        <v>730131</v>
      </c>
      <c r="O13" s="4">
        <f t="shared" si="2"/>
        <v>816330</v>
      </c>
      <c r="P13" s="4">
        <f t="shared" si="3"/>
        <v>448981.50000000006</v>
      </c>
      <c r="Q13" s="40">
        <f t="shared" si="0"/>
        <v>77.386363636363626</v>
      </c>
      <c r="R13" s="31">
        <f t="shared" si="0"/>
        <v>81.799242424242422</v>
      </c>
      <c r="S13" s="40">
        <f t="shared" si="0"/>
        <v>4.5776515151515156</v>
      </c>
      <c r="T13" s="31">
        <f t="shared" si="0"/>
        <v>5.5265151515151514</v>
      </c>
    </row>
    <row r="14" spans="1:20" x14ac:dyDescent="0.25">
      <c r="A14" s="7">
        <v>12</v>
      </c>
      <c r="B14" s="5">
        <v>46093</v>
      </c>
      <c r="C14" s="2" t="s">
        <v>21</v>
      </c>
      <c r="D14" s="2">
        <v>425800</v>
      </c>
      <c r="E14" s="2">
        <v>440200</v>
      </c>
      <c r="F14" s="2">
        <v>35605</v>
      </c>
      <c r="G14" s="2">
        <v>20930</v>
      </c>
      <c r="H14" s="2">
        <v>594695.19999999995</v>
      </c>
      <c r="I14" s="2">
        <v>99498.4</v>
      </c>
      <c r="J14" s="2">
        <v>55733</v>
      </c>
      <c r="K14" s="2">
        <v>31099.200000000001</v>
      </c>
      <c r="L14" s="4">
        <v>31800</v>
      </c>
      <c r="M14" s="4">
        <v>38499.199999999997</v>
      </c>
      <c r="N14" s="4">
        <f t="shared" si="1"/>
        <v>742862</v>
      </c>
      <c r="O14" s="4">
        <f t="shared" si="2"/>
        <v>830395</v>
      </c>
      <c r="P14" s="4">
        <f t="shared" si="3"/>
        <v>456717.25000000006</v>
      </c>
      <c r="Q14" s="40">
        <f t="shared" si="0"/>
        <v>80.643939393939391</v>
      </c>
      <c r="R14" s="31">
        <f t="shared" si="0"/>
        <v>83.371212121212125</v>
      </c>
      <c r="S14" s="40">
        <f t="shared" si="0"/>
        <v>6.7433712121212119</v>
      </c>
      <c r="T14" s="31">
        <f t="shared" si="0"/>
        <v>3.9640151515151518</v>
      </c>
    </row>
    <row r="15" spans="1:20" x14ac:dyDescent="0.25">
      <c r="A15" s="7">
        <v>13</v>
      </c>
      <c r="B15" s="5">
        <v>46094</v>
      </c>
      <c r="C15" s="2" t="s">
        <v>21</v>
      </c>
      <c r="D15" s="2">
        <v>437100</v>
      </c>
      <c r="E15" s="2">
        <v>438300</v>
      </c>
      <c r="F15" s="2">
        <v>20240</v>
      </c>
      <c r="G15" s="2">
        <v>32390</v>
      </c>
      <c r="H15" s="2">
        <v>621248.80000000005</v>
      </c>
      <c r="I15" s="2">
        <v>107949.6</v>
      </c>
      <c r="J15" s="2">
        <v>55302</v>
      </c>
      <c r="K15" s="2">
        <v>30874.799999999999</v>
      </c>
      <c r="L15" s="4">
        <v>32700</v>
      </c>
      <c r="M15" s="4">
        <v>39474.800000000003</v>
      </c>
      <c r="N15" s="4">
        <f t="shared" si="1"/>
        <v>767158</v>
      </c>
      <c r="O15" s="4">
        <f t="shared" si="2"/>
        <v>855160</v>
      </c>
      <c r="P15" s="4">
        <f t="shared" si="3"/>
        <v>470338.00000000006</v>
      </c>
      <c r="Q15" s="40">
        <f t="shared" si="0"/>
        <v>82.784090909090907</v>
      </c>
      <c r="R15" s="31">
        <f t="shared" si="0"/>
        <v>83.011363636363626</v>
      </c>
      <c r="S15" s="40">
        <f t="shared" si="0"/>
        <v>3.833333333333333</v>
      </c>
      <c r="T15" s="31">
        <f t="shared" si="0"/>
        <v>6.1344696969696972</v>
      </c>
    </row>
    <row r="16" spans="1:20" x14ac:dyDescent="0.25">
      <c r="A16" s="7">
        <v>14</v>
      </c>
      <c r="B16" s="5">
        <v>46095</v>
      </c>
      <c r="C16" s="2" t="s">
        <v>21</v>
      </c>
      <c r="D16" s="2">
        <v>424500</v>
      </c>
      <c r="E16" s="2">
        <v>444000</v>
      </c>
      <c r="F16" s="2">
        <v>28045</v>
      </c>
      <c r="G16" s="2">
        <v>25000</v>
      </c>
      <c r="H16" s="2">
        <v>610871.6</v>
      </c>
      <c r="I16" s="2">
        <v>100257.2</v>
      </c>
      <c r="J16" s="2">
        <v>53469</v>
      </c>
      <c r="K16" s="2">
        <v>30428.6</v>
      </c>
      <c r="L16" s="4">
        <v>32000</v>
      </c>
      <c r="M16" s="4">
        <v>38428.6</v>
      </c>
      <c r="N16" s="4">
        <f t="shared" si="1"/>
        <v>754986</v>
      </c>
      <c r="O16" s="4">
        <f t="shared" si="2"/>
        <v>840455</v>
      </c>
      <c r="P16" s="4">
        <f t="shared" si="3"/>
        <v>462250.25000000006</v>
      </c>
      <c r="Q16" s="40">
        <f t="shared" si="0"/>
        <v>80.397727272727266</v>
      </c>
      <c r="R16" s="31">
        <f t="shared" si="0"/>
        <v>84.090909090909093</v>
      </c>
      <c r="S16" s="40">
        <f t="shared" si="0"/>
        <v>5.3115530303030303</v>
      </c>
      <c r="T16" s="31">
        <f t="shared" si="0"/>
        <v>4.7348484848484844</v>
      </c>
    </row>
    <row r="17" spans="1:20" x14ac:dyDescent="0.25">
      <c r="A17" s="7">
        <v>15</v>
      </c>
      <c r="B17" s="5">
        <v>46096</v>
      </c>
      <c r="C17" s="2" t="s">
        <v>21</v>
      </c>
      <c r="D17" s="2">
        <v>429200</v>
      </c>
      <c r="E17" s="2">
        <v>449000</v>
      </c>
      <c r="F17" s="2">
        <v>34845</v>
      </c>
      <c r="G17" s="2">
        <v>17280</v>
      </c>
      <c r="H17" s="2">
        <v>613015</v>
      </c>
      <c r="I17" s="2">
        <v>93705</v>
      </c>
      <c r="J17" s="2">
        <v>53110</v>
      </c>
      <c r="K17" s="2">
        <v>30002.5</v>
      </c>
      <c r="L17" s="4">
        <v>31500</v>
      </c>
      <c r="M17" s="4">
        <v>39302.5</v>
      </c>
      <c r="N17" s="4">
        <f t="shared" si="1"/>
        <v>758745</v>
      </c>
      <c r="O17" s="4">
        <f t="shared" si="2"/>
        <v>843355</v>
      </c>
      <c r="P17" s="4">
        <f t="shared" si="3"/>
        <v>463845.25000000006</v>
      </c>
      <c r="Q17" s="40">
        <f t="shared" si="0"/>
        <v>81.287878787878782</v>
      </c>
      <c r="R17" s="31">
        <f t="shared" si="0"/>
        <v>85.037878787878782</v>
      </c>
      <c r="S17" s="40">
        <f t="shared" si="0"/>
        <v>6.5994318181818183</v>
      </c>
      <c r="T17" s="31">
        <f t="shared" si="0"/>
        <v>3.2727272727272729</v>
      </c>
    </row>
    <row r="18" spans="1:20" x14ac:dyDescent="0.25">
      <c r="A18" s="7">
        <v>16</v>
      </c>
      <c r="B18" s="5">
        <v>46097</v>
      </c>
      <c r="C18" s="2" t="s">
        <v>21</v>
      </c>
      <c r="D18" s="2">
        <v>436300</v>
      </c>
      <c r="E18" s="2">
        <v>447300</v>
      </c>
      <c r="F18" s="2">
        <v>39310</v>
      </c>
      <c r="G18" s="2">
        <v>19860</v>
      </c>
      <c r="H18" s="2">
        <v>614908</v>
      </c>
      <c r="I18" s="2">
        <v>94936</v>
      </c>
      <c r="J18" s="2">
        <v>52370</v>
      </c>
      <c r="K18" s="2">
        <v>30268</v>
      </c>
      <c r="L18" s="4">
        <v>31700</v>
      </c>
      <c r="M18" s="4">
        <v>39968</v>
      </c>
      <c r="N18" s="4">
        <f t="shared" si="1"/>
        <v>760220</v>
      </c>
      <c r="O18" s="4">
        <f t="shared" si="2"/>
        <v>844290</v>
      </c>
      <c r="P18" s="4">
        <f t="shared" si="3"/>
        <v>464359.50000000006</v>
      </c>
      <c r="Q18" s="40">
        <f t="shared" si="0"/>
        <v>82.632575757575751</v>
      </c>
      <c r="R18" s="31">
        <f t="shared" si="0"/>
        <v>84.715909090909093</v>
      </c>
      <c r="S18" s="40">
        <f t="shared" si="0"/>
        <v>7.4450757575757569</v>
      </c>
      <c r="T18" s="31">
        <f t="shared" si="0"/>
        <v>3.7613636363636362</v>
      </c>
    </row>
    <row r="19" spans="1:20" x14ac:dyDescent="0.25">
      <c r="A19" s="7">
        <v>17</v>
      </c>
      <c r="B19" s="5">
        <v>46098</v>
      </c>
      <c r="C19" s="2" t="s">
        <v>21</v>
      </c>
      <c r="D19" s="2">
        <v>428900</v>
      </c>
      <c r="E19" s="2">
        <v>452900</v>
      </c>
      <c r="F19" s="2">
        <v>31785</v>
      </c>
      <c r="G19" s="2">
        <v>23665</v>
      </c>
      <c r="H19" s="2">
        <v>627390</v>
      </c>
      <c r="I19" s="2">
        <v>93530</v>
      </c>
      <c r="J19" s="2">
        <v>50730</v>
      </c>
      <c r="K19" s="2">
        <v>30715</v>
      </c>
      <c r="L19" s="4">
        <v>32200</v>
      </c>
      <c r="M19" s="4">
        <v>39115</v>
      </c>
      <c r="N19" s="4">
        <f t="shared" si="1"/>
        <v>767085</v>
      </c>
      <c r="O19" s="4">
        <f t="shared" si="2"/>
        <v>850015</v>
      </c>
      <c r="P19" s="4">
        <f t="shared" si="3"/>
        <v>467508.25000000006</v>
      </c>
      <c r="Q19" s="40">
        <f t="shared" ref="Q19:T30" si="4">(D19/528000)*100</f>
        <v>81.231060606060595</v>
      </c>
      <c r="R19" s="31">
        <f t="shared" si="4"/>
        <v>85.776515151515156</v>
      </c>
      <c r="S19" s="40">
        <f t="shared" si="4"/>
        <v>6.0198863636363633</v>
      </c>
      <c r="T19" s="31">
        <f t="shared" si="4"/>
        <v>4.4820075757575761</v>
      </c>
    </row>
    <row r="20" spans="1:20" x14ac:dyDescent="0.25">
      <c r="A20" s="7">
        <v>18</v>
      </c>
      <c r="B20" s="5">
        <v>46099</v>
      </c>
      <c r="C20" s="2" t="s">
        <v>21</v>
      </c>
      <c r="D20" s="2">
        <v>425800</v>
      </c>
      <c r="E20" s="2">
        <v>451500</v>
      </c>
      <c r="F20" s="2">
        <v>29470</v>
      </c>
      <c r="G20" s="2">
        <v>24085</v>
      </c>
      <c r="H20" s="2">
        <v>615250.4</v>
      </c>
      <c r="I20" s="2">
        <v>100516.8</v>
      </c>
      <c r="J20" s="2">
        <v>53831</v>
      </c>
      <c r="K20" s="2">
        <v>29858.400000000001</v>
      </c>
      <c r="L20" s="4">
        <v>33100</v>
      </c>
      <c r="M20" s="4">
        <v>39358.400000000001</v>
      </c>
      <c r="N20" s="4">
        <f t="shared" si="1"/>
        <v>760899</v>
      </c>
      <c r="O20" s="4">
        <f t="shared" si="2"/>
        <v>847830</v>
      </c>
      <c r="P20" s="4">
        <f t="shared" si="3"/>
        <v>466306.50000000006</v>
      </c>
      <c r="Q20" s="40">
        <f t="shared" si="4"/>
        <v>80.643939393939391</v>
      </c>
      <c r="R20" s="31">
        <f t="shared" si="4"/>
        <v>85.51136363636364</v>
      </c>
      <c r="S20" s="40">
        <f t="shared" si="4"/>
        <v>5.5814393939393945</v>
      </c>
      <c r="T20" s="31">
        <f t="shared" si="4"/>
        <v>4.5615530303030303</v>
      </c>
    </row>
    <row r="21" spans="1:20" x14ac:dyDescent="0.25">
      <c r="A21" s="7">
        <v>19</v>
      </c>
      <c r="B21" s="5">
        <v>46100</v>
      </c>
      <c r="C21" s="2" t="s">
        <v>21</v>
      </c>
      <c r="D21" s="2">
        <v>425100</v>
      </c>
      <c r="E21" s="2">
        <v>416100</v>
      </c>
      <c r="F21" s="2">
        <v>24330</v>
      </c>
      <c r="G21" s="2">
        <v>29525</v>
      </c>
      <c r="H21" s="2">
        <v>594500</v>
      </c>
      <c r="I21" s="2">
        <v>99000</v>
      </c>
      <c r="J21" s="2">
        <v>53295</v>
      </c>
      <c r="K21" s="2">
        <v>29400</v>
      </c>
      <c r="L21" s="4">
        <v>31900</v>
      </c>
      <c r="M21" s="4">
        <v>38300</v>
      </c>
      <c r="N21" s="4">
        <f t="shared" si="1"/>
        <v>731675</v>
      </c>
      <c r="O21" s="4">
        <f t="shared" si="2"/>
        <v>816870</v>
      </c>
      <c r="P21" s="4">
        <f t="shared" si="3"/>
        <v>449278.50000000006</v>
      </c>
      <c r="Q21" s="40">
        <f t="shared" si="4"/>
        <v>80.511363636363626</v>
      </c>
      <c r="R21" s="31">
        <f t="shared" si="4"/>
        <v>78.806818181818187</v>
      </c>
      <c r="S21" s="40">
        <f t="shared" si="4"/>
        <v>4.6079545454545459</v>
      </c>
      <c r="T21" s="31">
        <f t="shared" si="4"/>
        <v>5.5918560606060606</v>
      </c>
    </row>
    <row r="22" spans="1:20" x14ac:dyDescent="0.25">
      <c r="A22" s="7">
        <v>20</v>
      </c>
      <c r="B22" s="5">
        <v>46101</v>
      </c>
      <c r="C22" s="2" t="s">
        <v>21</v>
      </c>
      <c r="D22" s="2">
        <v>441500</v>
      </c>
      <c r="E22" s="2">
        <v>409300</v>
      </c>
      <c r="F22" s="2">
        <v>19040</v>
      </c>
      <c r="G22" s="2">
        <v>40785</v>
      </c>
      <c r="H22" s="2">
        <v>615615.4</v>
      </c>
      <c r="I22" s="2">
        <v>105871.8</v>
      </c>
      <c r="J22" s="2">
        <v>52886</v>
      </c>
      <c r="K22" s="2">
        <v>29085.9</v>
      </c>
      <c r="L22" s="4">
        <v>31300</v>
      </c>
      <c r="M22" s="4">
        <v>37785.9</v>
      </c>
      <c r="N22" s="4">
        <f t="shared" si="1"/>
        <v>747574</v>
      </c>
      <c r="O22" s="4">
        <f t="shared" si="2"/>
        <v>831760</v>
      </c>
      <c r="P22" s="4">
        <f t="shared" si="3"/>
        <v>457468.00000000006</v>
      </c>
      <c r="Q22" s="40">
        <f t="shared" si="4"/>
        <v>83.617424242424249</v>
      </c>
      <c r="R22" s="31">
        <f t="shared" si="4"/>
        <v>77.518939393939391</v>
      </c>
      <c r="S22" s="40">
        <f t="shared" si="4"/>
        <v>3.6060606060606064</v>
      </c>
      <c r="T22" s="31">
        <f t="shared" si="4"/>
        <v>7.7244318181818175</v>
      </c>
    </row>
    <row r="23" spans="1:20" x14ac:dyDescent="0.25">
      <c r="A23" s="7">
        <v>21</v>
      </c>
      <c r="B23" s="5">
        <v>46102</v>
      </c>
      <c r="C23" s="2" t="s">
        <v>21</v>
      </c>
      <c r="D23" s="2">
        <v>416500</v>
      </c>
      <c r="E23" s="2">
        <v>407500</v>
      </c>
      <c r="F23" s="2">
        <v>10390</v>
      </c>
      <c r="G23" s="2">
        <v>65865</v>
      </c>
      <c r="H23" s="2">
        <v>633116.4</v>
      </c>
      <c r="I23" s="2">
        <v>101138.8</v>
      </c>
      <c r="J23" s="2">
        <v>50381</v>
      </c>
      <c r="K23" s="2">
        <v>28669.4</v>
      </c>
      <c r="L23" s="4">
        <v>28900</v>
      </c>
      <c r="M23" s="4">
        <v>37269.4</v>
      </c>
      <c r="N23" s="4">
        <f t="shared" si="1"/>
        <v>734329</v>
      </c>
      <c r="O23" s="4">
        <f t="shared" si="2"/>
        <v>813610</v>
      </c>
      <c r="P23" s="4">
        <f t="shared" si="3"/>
        <v>447485.50000000006</v>
      </c>
      <c r="Q23" s="40">
        <f t="shared" si="4"/>
        <v>78.882575757575751</v>
      </c>
      <c r="R23" s="31">
        <f t="shared" si="4"/>
        <v>77.178030303030297</v>
      </c>
      <c r="S23" s="40">
        <f t="shared" si="4"/>
        <v>1.9678030303030301</v>
      </c>
      <c r="T23" s="31">
        <f t="shared" si="4"/>
        <v>12.474431818181818</v>
      </c>
    </row>
    <row r="24" spans="1:20" x14ac:dyDescent="0.25">
      <c r="A24" s="7">
        <v>22</v>
      </c>
      <c r="B24" s="5">
        <v>46103</v>
      </c>
      <c r="C24" s="2" t="s">
        <v>21</v>
      </c>
      <c r="D24" s="2">
        <v>398700</v>
      </c>
      <c r="E24" s="2">
        <v>402400</v>
      </c>
      <c r="F24" s="2">
        <v>7500</v>
      </c>
      <c r="G24" s="2">
        <v>73120</v>
      </c>
      <c r="H24" s="2">
        <v>618173.4</v>
      </c>
      <c r="I24" s="2">
        <v>104757.8</v>
      </c>
      <c r="J24" s="2">
        <v>50331</v>
      </c>
      <c r="K24" s="2">
        <v>28028.9</v>
      </c>
      <c r="L24" s="4">
        <v>28700</v>
      </c>
      <c r="M24" s="4">
        <v>36728.9</v>
      </c>
      <c r="N24" s="4">
        <f t="shared" si="1"/>
        <v>714569</v>
      </c>
      <c r="O24" s="4">
        <f t="shared" si="2"/>
        <v>793600</v>
      </c>
      <c r="P24" s="4">
        <f t="shared" si="3"/>
        <v>436480.00000000006</v>
      </c>
      <c r="Q24" s="40">
        <f t="shared" si="4"/>
        <v>75.51136363636364</v>
      </c>
      <c r="R24" s="31">
        <f t="shared" si="4"/>
        <v>76.212121212121204</v>
      </c>
      <c r="S24" s="40">
        <f t="shared" si="4"/>
        <v>1.4204545454545454</v>
      </c>
      <c r="T24" s="31">
        <f t="shared" si="4"/>
        <v>13.84848484848485</v>
      </c>
    </row>
    <row r="25" spans="1:20" x14ac:dyDescent="0.25">
      <c r="A25" s="7">
        <v>23</v>
      </c>
      <c r="B25" s="5">
        <v>46104</v>
      </c>
      <c r="C25" s="2" t="s">
        <v>21</v>
      </c>
      <c r="D25" s="2">
        <v>376400</v>
      </c>
      <c r="E25" s="2">
        <v>449400</v>
      </c>
      <c r="F25" s="2">
        <v>14585</v>
      </c>
      <c r="G25" s="2">
        <v>55930</v>
      </c>
      <c r="H25" s="2">
        <v>616821.19999999995</v>
      </c>
      <c r="I25" s="2">
        <v>100140.4</v>
      </c>
      <c r="J25" s="2">
        <v>50043</v>
      </c>
      <c r="K25" s="2">
        <v>28820.2</v>
      </c>
      <c r="L25" s="4">
        <v>31900</v>
      </c>
      <c r="M25" s="4">
        <v>39420.199999999997</v>
      </c>
      <c r="N25" s="4">
        <f t="shared" si="1"/>
        <v>729272</v>
      </c>
      <c r="O25" s="4">
        <f t="shared" si="2"/>
        <v>811215</v>
      </c>
      <c r="P25" s="4">
        <f t="shared" si="3"/>
        <v>446168.25000000006</v>
      </c>
      <c r="Q25" s="40">
        <f t="shared" si="4"/>
        <v>71.287878787878782</v>
      </c>
      <c r="R25" s="31">
        <f t="shared" si="4"/>
        <v>85.113636363636374</v>
      </c>
      <c r="S25" s="40">
        <f t="shared" si="4"/>
        <v>2.762310606060606</v>
      </c>
      <c r="T25" s="31">
        <f t="shared" si="4"/>
        <v>10.592803030303029</v>
      </c>
    </row>
    <row r="26" spans="1:20" x14ac:dyDescent="0.25">
      <c r="A26" s="7">
        <v>24</v>
      </c>
      <c r="B26" s="5">
        <v>46105</v>
      </c>
      <c r="C26" s="2" t="s">
        <v>21</v>
      </c>
      <c r="D26" s="2">
        <v>368800</v>
      </c>
      <c r="E26" s="2">
        <v>447800</v>
      </c>
      <c r="F26" s="2">
        <v>10315</v>
      </c>
      <c r="G26" s="2">
        <v>58685</v>
      </c>
      <c r="H26" s="2">
        <v>615136.19999999995</v>
      </c>
      <c r="I26" s="2">
        <v>98345.4</v>
      </c>
      <c r="J26" s="2">
        <v>48543</v>
      </c>
      <c r="K26" s="2">
        <v>29722.7</v>
      </c>
      <c r="L26" s="4">
        <v>32900</v>
      </c>
      <c r="M26" s="4">
        <v>40322.699999999997</v>
      </c>
      <c r="N26" s="4">
        <f t="shared" si="1"/>
        <v>724842</v>
      </c>
      <c r="O26" s="4">
        <f t="shared" si="2"/>
        <v>806285</v>
      </c>
      <c r="P26" s="4">
        <f t="shared" si="3"/>
        <v>443456.75000000006</v>
      </c>
      <c r="Q26" s="40">
        <f t="shared" si="4"/>
        <v>69.848484848484844</v>
      </c>
      <c r="R26" s="31">
        <f t="shared" si="4"/>
        <v>84.810606060606062</v>
      </c>
      <c r="S26" s="40">
        <f t="shared" si="4"/>
        <v>1.9535984848484849</v>
      </c>
      <c r="T26" s="31">
        <f t="shared" si="4"/>
        <v>11.114583333333334</v>
      </c>
    </row>
    <row r="27" spans="1:20" x14ac:dyDescent="0.25">
      <c r="A27" s="7">
        <v>25</v>
      </c>
      <c r="B27" s="5">
        <v>46106</v>
      </c>
      <c r="C27" s="2" t="s">
        <v>21</v>
      </c>
      <c r="D27" s="2">
        <v>366900</v>
      </c>
      <c r="E27" s="2">
        <v>447700</v>
      </c>
      <c r="F27" s="2">
        <v>13665</v>
      </c>
      <c r="G27" s="2">
        <v>55565</v>
      </c>
      <c r="H27" s="2">
        <v>608782.6</v>
      </c>
      <c r="I27" s="2">
        <v>98294.2</v>
      </c>
      <c r="J27" s="2">
        <v>48529</v>
      </c>
      <c r="K27" s="2">
        <v>28747.1</v>
      </c>
      <c r="L27" s="4">
        <v>32700</v>
      </c>
      <c r="M27" s="4">
        <v>39447.1</v>
      </c>
      <c r="N27" s="4">
        <f t="shared" si="1"/>
        <v>719706</v>
      </c>
      <c r="O27" s="4">
        <f t="shared" si="2"/>
        <v>800935</v>
      </c>
      <c r="P27" s="4">
        <f t="shared" si="3"/>
        <v>440514.25000000006</v>
      </c>
      <c r="Q27" s="40">
        <f t="shared" si="4"/>
        <v>69.488636363636374</v>
      </c>
      <c r="R27" s="31">
        <f t="shared" si="4"/>
        <v>84.791666666666671</v>
      </c>
      <c r="S27" s="40">
        <f t="shared" si="4"/>
        <v>2.5880681818181817</v>
      </c>
      <c r="T27" s="31">
        <f t="shared" si="4"/>
        <v>10.523674242424242</v>
      </c>
    </row>
    <row r="28" spans="1:20" x14ac:dyDescent="0.25">
      <c r="A28" s="7">
        <v>26</v>
      </c>
      <c r="B28" s="5">
        <v>46107</v>
      </c>
      <c r="C28" s="2" t="s">
        <v>21</v>
      </c>
      <c r="D28" s="2">
        <v>357300</v>
      </c>
      <c r="E28" s="2">
        <v>452400</v>
      </c>
      <c r="F28" s="2">
        <v>9175</v>
      </c>
      <c r="G28" s="2">
        <v>57845</v>
      </c>
      <c r="H28" s="2">
        <v>626507.6</v>
      </c>
      <c r="I28" s="2">
        <v>83069.2</v>
      </c>
      <c r="J28" s="2">
        <v>47524</v>
      </c>
      <c r="K28" s="2">
        <v>28834.6</v>
      </c>
      <c r="L28" s="4">
        <v>32800</v>
      </c>
      <c r="M28" s="4">
        <v>39634.6</v>
      </c>
      <c r="N28" s="4">
        <f t="shared" si="1"/>
        <v>720201</v>
      </c>
      <c r="O28" s="4">
        <f t="shared" si="2"/>
        <v>800525</v>
      </c>
      <c r="P28" s="4">
        <f t="shared" si="3"/>
        <v>440288.75000000006</v>
      </c>
      <c r="Q28" s="40">
        <f t="shared" si="4"/>
        <v>67.670454545454547</v>
      </c>
      <c r="R28" s="31">
        <f t="shared" si="4"/>
        <v>85.681818181818187</v>
      </c>
      <c r="S28" s="40">
        <f t="shared" si="4"/>
        <v>1.7376893939393938</v>
      </c>
      <c r="T28" s="31">
        <f t="shared" si="4"/>
        <v>10.955492424242424</v>
      </c>
    </row>
    <row r="29" spans="1:20" x14ac:dyDescent="0.25">
      <c r="A29" s="7">
        <v>27</v>
      </c>
      <c r="B29" s="5">
        <v>46108</v>
      </c>
      <c r="C29" s="2" t="s">
        <v>21</v>
      </c>
      <c r="D29" s="2">
        <v>389100</v>
      </c>
      <c r="E29" s="2">
        <v>452500</v>
      </c>
      <c r="F29" s="2">
        <v>17920</v>
      </c>
      <c r="G29" s="2">
        <v>35430</v>
      </c>
      <c r="H29" s="2">
        <v>614445</v>
      </c>
      <c r="I29" s="2">
        <v>93415</v>
      </c>
      <c r="J29" s="2">
        <v>50435</v>
      </c>
      <c r="K29" s="2">
        <v>28557.5</v>
      </c>
      <c r="L29" s="4">
        <v>31900</v>
      </c>
      <c r="M29" s="4">
        <v>40357.5</v>
      </c>
      <c r="N29" s="4">
        <f t="shared" si="1"/>
        <v>741345</v>
      </c>
      <c r="O29" s="4">
        <f t="shared" si="2"/>
        <v>823680</v>
      </c>
      <c r="P29" s="4">
        <f t="shared" si="3"/>
        <v>453024.00000000006</v>
      </c>
      <c r="Q29" s="40">
        <f t="shared" si="4"/>
        <v>73.693181818181813</v>
      </c>
      <c r="R29" s="31">
        <f t="shared" si="4"/>
        <v>85.700757575757578</v>
      </c>
      <c r="S29" s="40">
        <f t="shared" si="4"/>
        <v>3.3939393939393945</v>
      </c>
      <c r="T29" s="31">
        <f t="shared" si="4"/>
        <v>6.7102272727272734</v>
      </c>
    </row>
    <row r="30" spans="1:20" x14ac:dyDescent="0.25">
      <c r="A30" s="7">
        <v>28</v>
      </c>
      <c r="B30" s="5">
        <v>46109</v>
      </c>
      <c r="C30" s="33" t="s">
        <v>21</v>
      </c>
      <c r="D30" s="33">
        <v>384100</v>
      </c>
      <c r="E30" s="33">
        <v>446300</v>
      </c>
      <c r="F30" s="33">
        <v>21665</v>
      </c>
      <c r="G30" s="33">
        <v>40345</v>
      </c>
      <c r="H30" s="33">
        <v>601544.6</v>
      </c>
      <c r="I30" s="33">
        <v>95848.2</v>
      </c>
      <c r="J30" s="33">
        <v>50339</v>
      </c>
      <c r="K30" s="33">
        <v>28024.1</v>
      </c>
      <c r="L30" s="35">
        <v>32800</v>
      </c>
      <c r="M30" s="36">
        <v>40524.1</v>
      </c>
      <c r="N30" s="4">
        <f t="shared" si="1"/>
        <v>725596</v>
      </c>
      <c r="O30" s="4">
        <f t="shared" si="2"/>
        <v>808735</v>
      </c>
      <c r="P30" s="4">
        <f t="shared" si="3"/>
        <v>444804.25000000006</v>
      </c>
      <c r="Q30" s="41">
        <f t="shared" si="4"/>
        <v>72.74621212121211</v>
      </c>
      <c r="R30" s="38">
        <f t="shared" si="4"/>
        <v>84.526515151515142</v>
      </c>
      <c r="S30" s="41">
        <f t="shared" si="4"/>
        <v>4.1032196969696972</v>
      </c>
      <c r="T30" s="38">
        <f t="shared" si="4"/>
        <v>7.6410984848484853</v>
      </c>
    </row>
    <row r="31" spans="1:20" x14ac:dyDescent="0.25">
      <c r="A31" s="57"/>
      <c r="B31" s="5">
        <v>46110</v>
      </c>
      <c r="C31" s="33" t="s">
        <v>21</v>
      </c>
      <c r="D31" s="2">
        <v>372400</v>
      </c>
      <c r="E31" s="2">
        <v>420400</v>
      </c>
      <c r="F31" s="2">
        <v>32450</v>
      </c>
      <c r="G31" s="2">
        <v>32640</v>
      </c>
      <c r="H31" s="2">
        <v>554154</v>
      </c>
      <c r="I31" s="2">
        <v>90318</v>
      </c>
      <c r="J31" s="2">
        <v>48900</v>
      </c>
      <c r="K31" s="2">
        <v>28759</v>
      </c>
      <c r="L31" s="4">
        <v>32100</v>
      </c>
      <c r="M31" s="4">
        <v>38759</v>
      </c>
      <c r="N31" s="4">
        <f t="shared" si="1"/>
        <v>679350</v>
      </c>
      <c r="O31" s="4">
        <f t="shared" si="2"/>
        <v>760350</v>
      </c>
      <c r="P31" s="4">
        <f t="shared" si="3"/>
        <v>418192.50000000006</v>
      </c>
      <c r="Q31" s="41"/>
      <c r="R31" s="38"/>
      <c r="S31" s="41"/>
      <c r="T31" s="38"/>
    </row>
    <row r="32" spans="1:20" x14ac:dyDescent="0.25">
      <c r="A32" s="57"/>
      <c r="B32" s="5">
        <v>46111</v>
      </c>
      <c r="C32" s="33" t="s">
        <v>21</v>
      </c>
      <c r="D32" s="2">
        <v>420300</v>
      </c>
      <c r="E32" s="2">
        <v>272600</v>
      </c>
      <c r="F32" s="2">
        <v>12885</v>
      </c>
      <c r="G32" s="2">
        <v>89740</v>
      </c>
      <c r="H32" s="2">
        <v>526578.19999999995</v>
      </c>
      <c r="I32" s="2">
        <v>100459.4</v>
      </c>
      <c r="J32" s="2">
        <v>54458</v>
      </c>
      <c r="K32" s="2">
        <v>28829.7</v>
      </c>
      <c r="L32" s="4">
        <v>27200</v>
      </c>
      <c r="M32" s="4">
        <v>32229.7</v>
      </c>
      <c r="N32" s="4">
        <f t="shared" si="1"/>
        <v>598357</v>
      </c>
      <c r="O32" s="4">
        <f t="shared" si="2"/>
        <v>680015</v>
      </c>
      <c r="P32" s="4">
        <f t="shared" si="3"/>
        <v>374008.25000000006</v>
      </c>
      <c r="Q32" s="41"/>
      <c r="R32" s="38"/>
      <c r="S32" s="41"/>
      <c r="T32" s="38"/>
    </row>
    <row r="33" spans="1:20" x14ac:dyDescent="0.25">
      <c r="A33" s="57"/>
      <c r="B33" s="5">
        <v>46112</v>
      </c>
      <c r="C33" s="33" t="s">
        <v>21</v>
      </c>
      <c r="D33" s="2">
        <v>454300</v>
      </c>
      <c r="E33" s="2">
        <v>0</v>
      </c>
      <c r="F33" s="2">
        <v>0</v>
      </c>
      <c r="G33" s="2">
        <v>325005</v>
      </c>
      <c r="H33" s="2">
        <v>569432.19999999995</v>
      </c>
      <c r="I33" s="2">
        <v>95577.4</v>
      </c>
      <c r="J33" s="2">
        <v>56818</v>
      </c>
      <c r="K33" s="2">
        <v>28138.7</v>
      </c>
      <c r="L33" s="4">
        <v>5900</v>
      </c>
      <c r="M33" s="4">
        <v>23438.7</v>
      </c>
      <c r="N33" s="4">
        <f t="shared" si="1"/>
        <v>391582</v>
      </c>
      <c r="O33" s="4">
        <f t="shared" si="2"/>
        <v>454300</v>
      </c>
      <c r="P33" s="4">
        <f t="shared" si="3"/>
        <v>249865.00000000003</v>
      </c>
      <c r="Q33" s="41"/>
      <c r="R33" s="38"/>
      <c r="S33" s="41"/>
      <c r="T33" s="38"/>
    </row>
    <row r="34" spans="1:20" x14ac:dyDescent="0.25">
      <c r="C34" s="8" t="s">
        <v>15</v>
      </c>
      <c r="D34" s="8">
        <f t="shared" ref="D34:M34" si="5">SUM(D3:D33)</f>
        <v>12597400</v>
      </c>
      <c r="E34" s="8">
        <f t="shared" si="5"/>
        <v>12893100</v>
      </c>
      <c r="F34" s="8">
        <f t="shared" si="5"/>
        <v>584910</v>
      </c>
      <c r="G34" s="8">
        <f t="shared" si="5"/>
        <v>1663180</v>
      </c>
      <c r="H34" s="8">
        <f t="shared" si="5"/>
        <v>18851388.799999997</v>
      </c>
      <c r="I34" s="23">
        <f t="shared" si="5"/>
        <v>3032129.6</v>
      </c>
      <c r="J34" s="8">
        <f t="shared" si="5"/>
        <v>1633922</v>
      </c>
      <c r="K34" s="8">
        <f t="shared" si="5"/>
        <v>910664.79999999981</v>
      </c>
      <c r="L34" s="8">
        <f t="shared" si="5"/>
        <v>951900</v>
      </c>
      <c r="M34" s="8">
        <f t="shared" si="5"/>
        <v>1188764.7999999998</v>
      </c>
      <c r="N34" s="54">
        <f t="shared" si="1"/>
        <v>22319768</v>
      </c>
      <c r="O34" s="54">
        <f t="shared" si="2"/>
        <v>24905590</v>
      </c>
      <c r="P34" s="54">
        <f t="shared" si="3"/>
        <v>13698074.500000002</v>
      </c>
      <c r="Q34" s="47">
        <f>SUM(Q3:Q30)/30</f>
        <v>71.656565656565647</v>
      </c>
      <c r="R34" s="13">
        <f>SUM(R3:R30)/30</f>
        <v>77.020833333333314</v>
      </c>
      <c r="S34" s="47">
        <f>SUM(S3:S30)/30</f>
        <v>3.4064078282828287</v>
      </c>
      <c r="T34" s="13">
        <f>SUM(T3:T30)/30</f>
        <v>7.6754734848484869</v>
      </c>
    </row>
    <row r="35" spans="1:20" x14ac:dyDescent="0.25">
      <c r="C35" s="8" t="s">
        <v>16</v>
      </c>
      <c r="D35" s="2">
        <v>12597400</v>
      </c>
      <c r="E35" s="2"/>
      <c r="F35" s="2">
        <v>582000</v>
      </c>
      <c r="G35" s="2">
        <v>1599720</v>
      </c>
      <c r="H35" s="2"/>
      <c r="I35" s="2"/>
      <c r="J35" s="2"/>
      <c r="K35" s="2"/>
      <c r="L35" s="2"/>
      <c r="M35" s="2"/>
      <c r="N35" s="2"/>
      <c r="O35" s="2"/>
      <c r="P35" s="2"/>
      <c r="Q35" s="55"/>
      <c r="R35" s="2"/>
      <c r="S35" s="55"/>
      <c r="T35" s="2"/>
    </row>
    <row r="36" spans="1:20" x14ac:dyDescent="0.25">
      <c r="C36" s="8" t="s">
        <v>17</v>
      </c>
      <c r="D36" s="2"/>
      <c r="E36" s="2"/>
      <c r="F36" s="56">
        <f>F34-F35</f>
        <v>2910</v>
      </c>
      <c r="G36" s="56">
        <f>G34-G35</f>
        <v>63460</v>
      </c>
      <c r="H36" s="60">
        <v>-60550</v>
      </c>
      <c r="I36" s="61"/>
      <c r="J36" s="61"/>
      <c r="K36" s="61"/>
      <c r="L36" s="61"/>
      <c r="M36" s="62"/>
      <c r="N36" s="2"/>
      <c r="O36" s="2"/>
      <c r="P36" s="2"/>
      <c r="Q36" s="2"/>
      <c r="R36" s="4"/>
      <c r="S36" s="2"/>
      <c r="T36" s="4"/>
    </row>
    <row r="37" spans="1:20" x14ac:dyDescent="0.25">
      <c r="C37" s="8" t="s">
        <v>18</v>
      </c>
      <c r="D37" s="2"/>
      <c r="E37" s="2"/>
      <c r="F37" s="2"/>
      <c r="G37" s="2"/>
      <c r="H37" s="2">
        <v>18821114</v>
      </c>
      <c r="I37" s="2">
        <v>3020019.6</v>
      </c>
      <c r="J37" s="2"/>
      <c r="K37" s="2">
        <v>901582.3</v>
      </c>
      <c r="L37" s="2"/>
      <c r="M37" s="2">
        <v>1179682.5</v>
      </c>
      <c r="N37" s="2"/>
      <c r="O37" s="2"/>
      <c r="P37" s="2"/>
      <c r="Q37" s="2"/>
      <c r="R37" s="2"/>
      <c r="S37" s="2"/>
      <c r="T37" s="2"/>
    </row>
    <row r="38" spans="1:20" x14ac:dyDescent="0.25">
      <c r="C38" s="8" t="s">
        <v>19</v>
      </c>
      <c r="D38" s="2">
        <v>760142.8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 x14ac:dyDescent="0.25">
      <c r="C39" s="8" t="s">
        <v>20</v>
      </c>
      <c r="D39" s="2">
        <v>772740.2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x14ac:dyDescent="0.25"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2" spans="1:20" x14ac:dyDescent="0.25">
      <c r="G42" s="48"/>
      <c r="H42" s="48"/>
      <c r="K42" s="51"/>
    </row>
    <row r="43" spans="1:20" x14ac:dyDescent="0.25">
      <c r="F43" s="48"/>
      <c r="G43" s="48"/>
      <c r="H43" s="48"/>
      <c r="I43" s="48"/>
      <c r="J43" s="48"/>
      <c r="K43" s="48"/>
    </row>
    <row r="44" spans="1:20" x14ac:dyDescent="0.25">
      <c r="F44" s="48"/>
      <c r="J44" s="48"/>
    </row>
    <row r="45" spans="1:20" x14ac:dyDescent="0.25">
      <c r="H45" s="48"/>
    </row>
  </sheetData>
  <mergeCells count="2">
    <mergeCell ref="A1:T1"/>
    <mergeCell ref="H36:M36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2"/>
  <sheetViews>
    <sheetView topLeftCell="B1" zoomScaleNormal="100" workbookViewId="0">
      <selection activeCell="K40" sqref="K40"/>
    </sheetView>
  </sheetViews>
  <sheetFormatPr defaultRowHeight="15" x14ac:dyDescent="0.25"/>
  <cols>
    <col min="2" max="2" width="10.42578125" bestFit="1" customWidth="1"/>
    <col min="3" max="3" width="18.5703125" bestFit="1" customWidth="1"/>
    <col min="4" max="4" width="11.140625" customWidth="1"/>
    <col min="5" max="5" width="18.85546875" customWidth="1"/>
    <col min="6" max="6" width="11.140625" customWidth="1"/>
    <col min="7" max="7" width="11.5703125" bestFit="1" customWidth="1"/>
    <col min="9" max="9" width="11.5703125" bestFit="1" customWidth="1"/>
    <col min="10" max="10" width="13.85546875" customWidth="1"/>
    <col min="11" max="11" width="13.5703125" customWidth="1"/>
    <col min="12" max="12" width="10.42578125" customWidth="1"/>
    <col min="14" max="14" width="11.28515625" customWidth="1"/>
    <col min="15" max="15" width="11" customWidth="1"/>
    <col min="17" max="17" width="14" customWidth="1"/>
    <col min="18" max="18" width="11.140625" customWidth="1"/>
  </cols>
  <sheetData>
    <row r="1" spans="1:20" ht="40.5" customHeight="1" thickBot="1" x14ac:dyDescent="0.3">
      <c r="A1" s="59" t="s">
        <v>134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</row>
    <row r="2" spans="1:20" ht="61.5" customHeight="1" thickBot="1" x14ac:dyDescent="0.3">
      <c r="A2" s="9" t="s">
        <v>0</v>
      </c>
      <c r="B2" s="10" t="s">
        <v>1</v>
      </c>
      <c r="C2" s="10" t="s">
        <v>2</v>
      </c>
      <c r="D2" s="21" t="s">
        <v>56</v>
      </c>
      <c r="E2" s="21" t="s">
        <v>57</v>
      </c>
      <c r="F2" s="21" t="s">
        <v>4</v>
      </c>
      <c r="G2" s="21" t="s">
        <v>5</v>
      </c>
      <c r="H2" s="21" t="s">
        <v>6</v>
      </c>
      <c r="I2" s="21" t="s">
        <v>7</v>
      </c>
      <c r="J2" s="21" t="s">
        <v>64</v>
      </c>
      <c r="K2" s="21" t="s">
        <v>66</v>
      </c>
      <c r="L2" s="21" t="s">
        <v>100</v>
      </c>
      <c r="M2" s="21" t="s">
        <v>67</v>
      </c>
      <c r="N2" s="21" t="s">
        <v>10</v>
      </c>
      <c r="O2" s="21" t="s">
        <v>11</v>
      </c>
      <c r="P2" s="10" t="s">
        <v>12</v>
      </c>
      <c r="Q2" s="45" t="s">
        <v>54</v>
      </c>
      <c r="R2" s="46" t="s">
        <v>55</v>
      </c>
      <c r="S2" s="45" t="s">
        <v>54</v>
      </c>
      <c r="T2" s="46" t="s">
        <v>55</v>
      </c>
    </row>
    <row r="3" spans="1:20" x14ac:dyDescent="0.25">
      <c r="A3" s="6">
        <v>1</v>
      </c>
      <c r="B3" s="5">
        <v>46054</v>
      </c>
      <c r="C3" s="4" t="s">
        <v>21</v>
      </c>
      <c r="D3" s="4">
        <v>405300</v>
      </c>
      <c r="E3" s="4">
        <v>374200</v>
      </c>
      <c r="F3" s="4">
        <v>11455</v>
      </c>
      <c r="G3" s="4">
        <v>60500</v>
      </c>
      <c r="H3" s="4">
        <v>591957.80000000005</v>
      </c>
      <c r="I3" s="4">
        <v>100252.6</v>
      </c>
      <c r="J3" s="4">
        <v>48782</v>
      </c>
      <c r="K3" s="4">
        <v>29826.3</v>
      </c>
      <c r="L3" s="4">
        <v>24500</v>
      </c>
      <c r="M3" s="4">
        <v>33226.300000000003</v>
      </c>
      <c r="N3" s="4">
        <f>(D3+E3)-F3-J3-L3</f>
        <v>694763</v>
      </c>
      <c r="O3" s="4">
        <f>(D3+E3)-F3</f>
        <v>768045</v>
      </c>
      <c r="P3" s="4">
        <f>O3*0.55</f>
        <v>422424.75000000006</v>
      </c>
      <c r="Q3" s="40">
        <f t="shared" ref="Q3:T18" si="0">(D3/528000)*100</f>
        <v>76.761363636363626</v>
      </c>
      <c r="R3" s="31">
        <f t="shared" si="0"/>
        <v>70.871212121212125</v>
      </c>
      <c r="S3" s="40">
        <f t="shared" si="0"/>
        <v>2.1695075757575757</v>
      </c>
      <c r="T3" s="31">
        <f t="shared" si="0"/>
        <v>11.458333333333332</v>
      </c>
    </row>
    <row r="4" spans="1:20" x14ac:dyDescent="0.25">
      <c r="A4" s="7">
        <v>2</v>
      </c>
      <c r="B4" s="5">
        <v>46055</v>
      </c>
      <c r="C4" s="2" t="s">
        <v>21</v>
      </c>
      <c r="D4" s="2">
        <v>413500</v>
      </c>
      <c r="E4" s="2">
        <v>377300</v>
      </c>
      <c r="F4" s="2">
        <v>12390</v>
      </c>
      <c r="G4" s="2">
        <v>62535</v>
      </c>
      <c r="H4" s="2">
        <v>597903</v>
      </c>
      <c r="I4" s="2">
        <v>105001</v>
      </c>
      <c r="J4" s="2">
        <v>50740</v>
      </c>
      <c r="K4" s="2">
        <v>29400.5</v>
      </c>
      <c r="L4" s="4">
        <v>24800</v>
      </c>
      <c r="M4" s="4">
        <v>33100.5</v>
      </c>
      <c r="N4" s="4">
        <f t="shared" ref="N4:N31" si="1">(D4+E4)-F4-J4-L4</f>
        <v>702870</v>
      </c>
      <c r="O4" s="4">
        <f t="shared" ref="O4:O31" si="2">(D4+E4)-F4</f>
        <v>778410</v>
      </c>
      <c r="P4" s="4">
        <f t="shared" ref="P4:P31" si="3">O4*0.55</f>
        <v>428125.50000000006</v>
      </c>
      <c r="Q4" s="40">
        <f t="shared" si="0"/>
        <v>78.314393939393938</v>
      </c>
      <c r="R4" s="31">
        <f t="shared" si="0"/>
        <v>71.458333333333329</v>
      </c>
      <c r="S4" s="40">
        <f t="shared" si="0"/>
        <v>2.3465909090909087</v>
      </c>
      <c r="T4" s="31">
        <f t="shared" si="0"/>
        <v>11.84375</v>
      </c>
    </row>
    <row r="5" spans="1:20" x14ac:dyDescent="0.25">
      <c r="A5" s="7">
        <v>3</v>
      </c>
      <c r="B5" s="5">
        <v>46056</v>
      </c>
      <c r="C5" s="2" t="s">
        <v>21</v>
      </c>
      <c r="D5" s="2">
        <v>394600</v>
      </c>
      <c r="E5" s="2">
        <v>410200</v>
      </c>
      <c r="F5" s="2">
        <v>19805</v>
      </c>
      <c r="G5" s="2">
        <v>53365</v>
      </c>
      <c r="H5" s="2">
        <v>593006.6</v>
      </c>
      <c r="I5" s="2">
        <v>107402.2</v>
      </c>
      <c r="J5" s="2">
        <v>46149</v>
      </c>
      <c r="K5" s="2">
        <v>29551.1</v>
      </c>
      <c r="L5" s="4">
        <v>26500</v>
      </c>
      <c r="M5" s="4">
        <v>35751.1</v>
      </c>
      <c r="N5" s="4">
        <f t="shared" si="1"/>
        <v>712346</v>
      </c>
      <c r="O5" s="4">
        <f t="shared" si="2"/>
        <v>784995</v>
      </c>
      <c r="P5" s="4">
        <f t="shared" si="3"/>
        <v>431747.25000000006</v>
      </c>
      <c r="Q5" s="40">
        <f t="shared" si="0"/>
        <v>74.734848484848484</v>
      </c>
      <c r="R5" s="31">
        <f t="shared" si="0"/>
        <v>77.689393939393938</v>
      </c>
      <c r="S5" s="40">
        <f t="shared" si="0"/>
        <v>3.7509469696969693</v>
      </c>
      <c r="T5" s="31">
        <f t="shared" si="0"/>
        <v>10.107007575757576</v>
      </c>
    </row>
    <row r="6" spans="1:20" x14ac:dyDescent="0.25">
      <c r="A6" s="7">
        <v>4</v>
      </c>
      <c r="B6" s="5">
        <v>46057</v>
      </c>
      <c r="C6" s="2" t="s">
        <v>21</v>
      </c>
      <c r="D6" s="2">
        <v>402700</v>
      </c>
      <c r="E6" s="2">
        <v>410500</v>
      </c>
      <c r="F6" s="2">
        <v>17890</v>
      </c>
      <c r="G6" s="2">
        <v>48040</v>
      </c>
      <c r="H6" s="2">
        <v>589587.19999999995</v>
      </c>
      <c r="I6" s="2">
        <v>111662.39999999999</v>
      </c>
      <c r="J6" s="2">
        <v>48838</v>
      </c>
      <c r="K6" s="2">
        <v>30031.200000000001</v>
      </c>
      <c r="L6" s="4">
        <v>27200</v>
      </c>
      <c r="M6" s="4">
        <v>36031.199999999997</v>
      </c>
      <c r="N6" s="4">
        <f t="shared" si="1"/>
        <v>719272</v>
      </c>
      <c r="O6" s="4">
        <f t="shared" si="2"/>
        <v>795310</v>
      </c>
      <c r="P6" s="4">
        <f t="shared" si="3"/>
        <v>437420.50000000006</v>
      </c>
      <c r="Q6" s="40">
        <f t="shared" si="0"/>
        <v>76.268939393939391</v>
      </c>
      <c r="R6" s="31">
        <f t="shared" si="0"/>
        <v>77.746212121212125</v>
      </c>
      <c r="S6" s="40">
        <f t="shared" si="0"/>
        <v>3.3882575757575757</v>
      </c>
      <c r="T6" s="31">
        <f t="shared" si="0"/>
        <v>9.0984848484848495</v>
      </c>
    </row>
    <row r="7" spans="1:20" x14ac:dyDescent="0.25">
      <c r="A7" s="7">
        <v>5</v>
      </c>
      <c r="B7" s="5">
        <v>46058</v>
      </c>
      <c r="C7" s="2" t="s">
        <v>21</v>
      </c>
      <c r="D7" s="2">
        <v>384100</v>
      </c>
      <c r="E7" s="2">
        <v>353600</v>
      </c>
      <c r="F7" s="2">
        <v>5570</v>
      </c>
      <c r="G7" s="2">
        <v>84985</v>
      </c>
      <c r="H7" s="2">
        <v>577592</v>
      </c>
      <c r="I7" s="2">
        <v>105364</v>
      </c>
      <c r="J7" s="2">
        <v>48095</v>
      </c>
      <c r="K7" s="2">
        <v>29032</v>
      </c>
      <c r="L7" s="4">
        <v>24500</v>
      </c>
      <c r="M7" s="4">
        <v>32532</v>
      </c>
      <c r="N7" s="4">
        <f t="shared" si="1"/>
        <v>659535</v>
      </c>
      <c r="O7" s="4">
        <f t="shared" si="2"/>
        <v>732130</v>
      </c>
      <c r="P7" s="4">
        <f t="shared" si="3"/>
        <v>402671.50000000006</v>
      </c>
      <c r="Q7" s="40">
        <f t="shared" si="0"/>
        <v>72.74621212121211</v>
      </c>
      <c r="R7" s="31">
        <f t="shared" si="0"/>
        <v>66.969696969696969</v>
      </c>
      <c r="S7" s="40">
        <f t="shared" si="0"/>
        <v>1.0549242424242424</v>
      </c>
      <c r="T7" s="31">
        <f t="shared" si="0"/>
        <v>16.095643939393938</v>
      </c>
    </row>
    <row r="8" spans="1:20" x14ac:dyDescent="0.25">
      <c r="A8" s="7">
        <v>6</v>
      </c>
      <c r="B8" s="5">
        <v>46059</v>
      </c>
      <c r="C8" s="2" t="s">
        <v>21</v>
      </c>
      <c r="D8" s="2">
        <v>377800</v>
      </c>
      <c r="E8" s="2">
        <v>420200</v>
      </c>
      <c r="F8" s="2">
        <v>9270</v>
      </c>
      <c r="G8" s="2">
        <v>61135</v>
      </c>
      <c r="H8" s="2">
        <v>598625.80000000005</v>
      </c>
      <c r="I8" s="2">
        <v>108608.6</v>
      </c>
      <c r="J8" s="2">
        <v>50422</v>
      </c>
      <c r="K8" s="2">
        <v>27904.3</v>
      </c>
      <c r="L8" s="4">
        <v>26600</v>
      </c>
      <c r="M8" s="4">
        <v>37704.300000000003</v>
      </c>
      <c r="N8" s="4">
        <f t="shared" si="1"/>
        <v>711708</v>
      </c>
      <c r="O8" s="4">
        <f t="shared" si="2"/>
        <v>788730</v>
      </c>
      <c r="P8" s="4">
        <f t="shared" si="3"/>
        <v>433801.50000000006</v>
      </c>
      <c r="Q8" s="40">
        <f t="shared" si="0"/>
        <v>71.553030303030312</v>
      </c>
      <c r="R8" s="31">
        <f t="shared" si="0"/>
        <v>79.583333333333329</v>
      </c>
      <c r="S8" s="40">
        <f t="shared" si="0"/>
        <v>1.7556818181818181</v>
      </c>
      <c r="T8" s="31">
        <f t="shared" si="0"/>
        <v>11.578598484848484</v>
      </c>
    </row>
    <row r="9" spans="1:20" x14ac:dyDescent="0.25">
      <c r="A9" s="7">
        <v>7</v>
      </c>
      <c r="B9" s="5">
        <v>46060</v>
      </c>
      <c r="C9" s="2" t="s">
        <v>21</v>
      </c>
      <c r="D9" s="2">
        <v>365900</v>
      </c>
      <c r="E9" s="2">
        <v>414000</v>
      </c>
      <c r="F9" s="2">
        <v>9470</v>
      </c>
      <c r="G9" s="2">
        <v>65060</v>
      </c>
      <c r="H9" s="2">
        <v>595147.6</v>
      </c>
      <c r="I9" s="2">
        <v>100149.2</v>
      </c>
      <c r="J9" s="2">
        <v>49744</v>
      </c>
      <c r="K9" s="2">
        <v>27374.6</v>
      </c>
      <c r="L9" s="4">
        <v>26000</v>
      </c>
      <c r="M9" s="4">
        <v>37074.6</v>
      </c>
      <c r="N9" s="4">
        <f t="shared" si="1"/>
        <v>694686</v>
      </c>
      <c r="O9" s="4">
        <f t="shared" si="2"/>
        <v>770430</v>
      </c>
      <c r="P9" s="4">
        <f t="shared" si="3"/>
        <v>423736.50000000006</v>
      </c>
      <c r="Q9" s="40">
        <f t="shared" si="0"/>
        <v>69.299242424242422</v>
      </c>
      <c r="R9" s="31">
        <f t="shared" si="0"/>
        <v>78.409090909090907</v>
      </c>
      <c r="S9" s="40">
        <f t="shared" si="0"/>
        <v>1.7935606060606062</v>
      </c>
      <c r="T9" s="31">
        <f t="shared" si="0"/>
        <v>12.321969696969697</v>
      </c>
    </row>
    <row r="10" spans="1:20" x14ac:dyDescent="0.25">
      <c r="A10" s="7">
        <v>8</v>
      </c>
      <c r="B10" s="5">
        <v>46061</v>
      </c>
      <c r="C10" s="2" t="s">
        <v>21</v>
      </c>
      <c r="D10" s="2">
        <v>346000</v>
      </c>
      <c r="E10" s="2">
        <v>421500</v>
      </c>
      <c r="F10" s="2">
        <v>8450</v>
      </c>
      <c r="G10" s="2">
        <v>67230</v>
      </c>
      <c r="H10" s="2">
        <v>584942.80000000005</v>
      </c>
      <c r="I10" s="2">
        <v>104247.6</v>
      </c>
      <c r="J10" s="2">
        <v>45142</v>
      </c>
      <c r="K10" s="2">
        <v>28473.8</v>
      </c>
      <c r="L10" s="4">
        <v>26700</v>
      </c>
      <c r="M10" s="4">
        <v>36773.800000000003</v>
      </c>
      <c r="N10" s="4">
        <f t="shared" si="1"/>
        <v>687208</v>
      </c>
      <c r="O10" s="4">
        <f t="shared" si="2"/>
        <v>759050</v>
      </c>
      <c r="P10" s="4">
        <f t="shared" si="3"/>
        <v>417477.50000000006</v>
      </c>
      <c r="Q10" s="40">
        <f t="shared" si="0"/>
        <v>65.530303030303031</v>
      </c>
      <c r="R10" s="31">
        <f t="shared" si="0"/>
        <v>79.829545454545453</v>
      </c>
      <c r="S10" s="40">
        <f t="shared" si="0"/>
        <v>1.6003787878787878</v>
      </c>
      <c r="T10" s="31">
        <f t="shared" si="0"/>
        <v>12.732954545454545</v>
      </c>
    </row>
    <row r="11" spans="1:20" x14ac:dyDescent="0.25">
      <c r="A11" s="7">
        <v>9</v>
      </c>
      <c r="B11" s="5">
        <v>46062</v>
      </c>
      <c r="C11" s="2" t="s">
        <v>21</v>
      </c>
      <c r="D11" s="2">
        <v>365900</v>
      </c>
      <c r="E11" s="2">
        <v>420600</v>
      </c>
      <c r="F11" s="2">
        <v>12720</v>
      </c>
      <c r="G11" s="2">
        <v>61840</v>
      </c>
      <c r="H11" s="2">
        <v>612477.6</v>
      </c>
      <c r="I11" s="2">
        <v>87559.2</v>
      </c>
      <c r="J11" s="2">
        <v>45524</v>
      </c>
      <c r="K11" s="2">
        <v>26779.599999999999</v>
      </c>
      <c r="L11" s="4">
        <v>25700</v>
      </c>
      <c r="M11" s="4">
        <v>37579.599999999999</v>
      </c>
      <c r="N11" s="4">
        <f t="shared" si="1"/>
        <v>702556</v>
      </c>
      <c r="O11" s="4">
        <f t="shared" si="2"/>
        <v>773780</v>
      </c>
      <c r="P11" s="4">
        <f t="shared" si="3"/>
        <v>425579.00000000006</v>
      </c>
      <c r="Q11" s="40">
        <f t="shared" si="0"/>
        <v>69.299242424242422</v>
      </c>
      <c r="R11" s="31">
        <f t="shared" si="0"/>
        <v>79.659090909090907</v>
      </c>
      <c r="S11" s="40">
        <f t="shared" si="0"/>
        <v>2.4090909090909092</v>
      </c>
      <c r="T11" s="31">
        <f t="shared" si="0"/>
        <v>11.712121212121213</v>
      </c>
    </row>
    <row r="12" spans="1:20" x14ac:dyDescent="0.25">
      <c r="A12" s="7">
        <v>10</v>
      </c>
      <c r="B12" s="5">
        <v>46063</v>
      </c>
      <c r="C12" s="2" t="s">
        <v>21</v>
      </c>
      <c r="D12" s="2">
        <v>367000</v>
      </c>
      <c r="E12" s="2">
        <v>430800</v>
      </c>
      <c r="F12" s="2">
        <v>15425</v>
      </c>
      <c r="G12" s="2">
        <v>42845</v>
      </c>
      <c r="H12" s="2">
        <v>604674.4</v>
      </c>
      <c r="I12" s="2">
        <v>84824.8</v>
      </c>
      <c r="J12" s="2">
        <v>45596</v>
      </c>
      <c r="K12" s="2">
        <v>25562.400000000001</v>
      </c>
      <c r="L12" s="4">
        <v>26400</v>
      </c>
      <c r="M12" s="4">
        <v>38162.400000000001</v>
      </c>
      <c r="N12" s="4">
        <f t="shared" si="1"/>
        <v>710379</v>
      </c>
      <c r="O12" s="4">
        <f t="shared" si="2"/>
        <v>782375</v>
      </c>
      <c r="P12" s="4">
        <f t="shared" si="3"/>
        <v>430306.25000000006</v>
      </c>
      <c r="Q12" s="40">
        <f t="shared" si="0"/>
        <v>69.507575757575751</v>
      </c>
      <c r="R12" s="31">
        <f t="shared" si="0"/>
        <v>81.590909090909093</v>
      </c>
      <c r="S12" s="40">
        <f t="shared" si="0"/>
        <v>2.9214015151515151</v>
      </c>
      <c r="T12" s="31">
        <f t="shared" si="0"/>
        <v>8.1145833333333339</v>
      </c>
    </row>
    <row r="13" spans="1:20" x14ac:dyDescent="0.25">
      <c r="A13" s="7">
        <v>11</v>
      </c>
      <c r="B13" s="5">
        <v>46064</v>
      </c>
      <c r="C13" s="2" t="s">
        <v>21</v>
      </c>
      <c r="D13" s="2">
        <v>389800</v>
      </c>
      <c r="E13" s="2">
        <v>430300</v>
      </c>
      <c r="F13" s="2">
        <v>24915</v>
      </c>
      <c r="G13" s="2">
        <v>30860</v>
      </c>
      <c r="H13" s="2">
        <v>601605.19999999995</v>
      </c>
      <c r="I13" s="2">
        <v>84168.4</v>
      </c>
      <c r="J13" s="2">
        <v>47803</v>
      </c>
      <c r="K13" s="2">
        <v>27484.2</v>
      </c>
      <c r="L13" s="4">
        <v>26600</v>
      </c>
      <c r="M13" s="4">
        <v>38384.199999999997</v>
      </c>
      <c r="N13" s="4">
        <f t="shared" si="1"/>
        <v>720782</v>
      </c>
      <c r="O13" s="4">
        <f t="shared" si="2"/>
        <v>795185</v>
      </c>
      <c r="P13" s="4">
        <f t="shared" si="3"/>
        <v>437351.75000000006</v>
      </c>
      <c r="Q13" s="40">
        <f t="shared" si="0"/>
        <v>73.825757575757578</v>
      </c>
      <c r="R13" s="31">
        <f t="shared" si="0"/>
        <v>81.496212121212125</v>
      </c>
      <c r="S13" s="40">
        <f t="shared" si="0"/>
        <v>4.71875</v>
      </c>
      <c r="T13" s="31">
        <f t="shared" si="0"/>
        <v>5.8446969696969697</v>
      </c>
    </row>
    <row r="14" spans="1:20" x14ac:dyDescent="0.25">
      <c r="A14" s="7">
        <v>12</v>
      </c>
      <c r="B14" s="5">
        <v>46065</v>
      </c>
      <c r="C14" s="2" t="s">
        <v>21</v>
      </c>
      <c r="D14" s="2">
        <v>431300</v>
      </c>
      <c r="E14" s="2">
        <v>423600</v>
      </c>
      <c r="F14" s="2">
        <v>22740</v>
      </c>
      <c r="G14" s="2">
        <v>26995</v>
      </c>
      <c r="H14" s="2">
        <v>607489.80000000005</v>
      </c>
      <c r="I14" s="2">
        <v>106396.6</v>
      </c>
      <c r="J14" s="2">
        <v>51372</v>
      </c>
      <c r="K14" s="2">
        <v>29148.3</v>
      </c>
      <c r="L14" s="4">
        <v>26400</v>
      </c>
      <c r="M14" s="4">
        <v>38348.300000000003</v>
      </c>
      <c r="N14" s="4">
        <f t="shared" si="1"/>
        <v>754388</v>
      </c>
      <c r="O14" s="4">
        <f t="shared" si="2"/>
        <v>832160</v>
      </c>
      <c r="P14" s="4">
        <f t="shared" si="3"/>
        <v>457688.00000000006</v>
      </c>
      <c r="Q14" s="40">
        <f t="shared" si="0"/>
        <v>81.685606060606062</v>
      </c>
      <c r="R14" s="31">
        <f t="shared" si="0"/>
        <v>80.22727272727272</v>
      </c>
      <c r="S14" s="40">
        <f t="shared" si="0"/>
        <v>4.3068181818181817</v>
      </c>
      <c r="T14" s="31">
        <f t="shared" si="0"/>
        <v>5.1126893939393936</v>
      </c>
    </row>
    <row r="15" spans="1:20" x14ac:dyDescent="0.25">
      <c r="A15" s="7">
        <v>13</v>
      </c>
      <c r="B15" s="5">
        <v>46066</v>
      </c>
      <c r="C15" s="2" t="s">
        <v>21</v>
      </c>
      <c r="D15" s="2">
        <v>424700</v>
      </c>
      <c r="E15" s="2">
        <v>421300</v>
      </c>
      <c r="F15" s="2">
        <v>25835</v>
      </c>
      <c r="G15" s="2">
        <v>26535</v>
      </c>
      <c r="H15" s="2">
        <v>600901.80000000005</v>
      </c>
      <c r="I15" s="2">
        <v>102800.6</v>
      </c>
      <c r="J15" s="2">
        <v>48897</v>
      </c>
      <c r="K15" s="2">
        <v>29150.3</v>
      </c>
      <c r="L15" s="4">
        <v>26800</v>
      </c>
      <c r="M15" s="4">
        <v>38150.300000000003</v>
      </c>
      <c r="N15" s="4">
        <f t="shared" si="1"/>
        <v>744468</v>
      </c>
      <c r="O15" s="4">
        <f t="shared" si="2"/>
        <v>820165</v>
      </c>
      <c r="P15" s="4">
        <f t="shared" si="3"/>
        <v>451090.75000000006</v>
      </c>
      <c r="Q15" s="40">
        <f t="shared" si="0"/>
        <v>80.435606060606062</v>
      </c>
      <c r="R15" s="31">
        <f t="shared" si="0"/>
        <v>79.791666666666671</v>
      </c>
      <c r="S15" s="40">
        <f t="shared" si="0"/>
        <v>4.8929924242424239</v>
      </c>
      <c r="T15" s="31">
        <f t="shared" si="0"/>
        <v>5.0255681818181817</v>
      </c>
    </row>
    <row r="16" spans="1:20" x14ac:dyDescent="0.25">
      <c r="A16" s="7">
        <v>14</v>
      </c>
      <c r="B16" s="5">
        <v>46067</v>
      </c>
      <c r="C16" s="2" t="s">
        <v>21</v>
      </c>
      <c r="D16" s="2">
        <v>427000</v>
      </c>
      <c r="E16" s="2">
        <v>418300</v>
      </c>
      <c r="F16" s="2">
        <v>27290</v>
      </c>
      <c r="G16" s="2">
        <v>22565</v>
      </c>
      <c r="H16" s="2">
        <v>603626</v>
      </c>
      <c r="I16" s="2">
        <v>94842</v>
      </c>
      <c r="J16" s="2">
        <v>48865</v>
      </c>
      <c r="K16" s="2">
        <v>28871</v>
      </c>
      <c r="L16" s="4">
        <v>26300</v>
      </c>
      <c r="M16" s="4">
        <v>38071</v>
      </c>
      <c r="N16" s="4">
        <f t="shared" si="1"/>
        <v>742845</v>
      </c>
      <c r="O16" s="4">
        <f t="shared" si="2"/>
        <v>818010</v>
      </c>
      <c r="P16" s="4">
        <f t="shared" si="3"/>
        <v>449905.50000000006</v>
      </c>
      <c r="Q16" s="40">
        <f t="shared" si="0"/>
        <v>80.871212121212125</v>
      </c>
      <c r="R16" s="31">
        <f t="shared" si="0"/>
        <v>79.223484848484844</v>
      </c>
      <c r="S16" s="40">
        <f t="shared" si="0"/>
        <v>5.1685606060606064</v>
      </c>
      <c r="T16" s="31">
        <f t="shared" si="0"/>
        <v>4.2736742424242431</v>
      </c>
    </row>
    <row r="17" spans="1:20" x14ac:dyDescent="0.25">
      <c r="A17" s="7">
        <v>15</v>
      </c>
      <c r="B17" s="5">
        <v>46068</v>
      </c>
      <c r="C17" s="2" t="s">
        <v>21</v>
      </c>
      <c r="D17" s="2">
        <v>426400</v>
      </c>
      <c r="E17" s="2">
        <v>416700</v>
      </c>
      <c r="F17" s="2">
        <v>25210</v>
      </c>
      <c r="G17" s="2">
        <v>24660</v>
      </c>
      <c r="H17" s="2">
        <v>612299.6</v>
      </c>
      <c r="I17" s="2">
        <v>87233.2</v>
      </c>
      <c r="J17" s="2">
        <v>49884</v>
      </c>
      <c r="K17" s="2">
        <v>28766.6</v>
      </c>
      <c r="L17" s="4">
        <v>26700</v>
      </c>
      <c r="M17" s="4">
        <v>37666.6</v>
      </c>
      <c r="N17" s="4">
        <f t="shared" si="1"/>
        <v>741306</v>
      </c>
      <c r="O17" s="4">
        <f t="shared" si="2"/>
        <v>817890</v>
      </c>
      <c r="P17" s="4">
        <f t="shared" si="3"/>
        <v>449839.50000000006</v>
      </c>
      <c r="Q17" s="40">
        <f t="shared" si="0"/>
        <v>80.757575757575765</v>
      </c>
      <c r="R17" s="31">
        <f t="shared" si="0"/>
        <v>78.920454545454547</v>
      </c>
      <c r="S17" s="40">
        <f t="shared" si="0"/>
        <v>4.7746212121212119</v>
      </c>
      <c r="T17" s="31">
        <f t="shared" si="0"/>
        <v>4.6704545454545459</v>
      </c>
    </row>
    <row r="18" spans="1:20" x14ac:dyDescent="0.25">
      <c r="A18" s="7">
        <v>16</v>
      </c>
      <c r="B18" s="5">
        <v>46069</v>
      </c>
      <c r="C18" s="2" t="s">
        <v>21</v>
      </c>
      <c r="D18" s="2">
        <v>402800</v>
      </c>
      <c r="E18" s="2">
        <v>396300</v>
      </c>
      <c r="F18" s="2">
        <v>31305</v>
      </c>
      <c r="G18" s="2">
        <v>24655</v>
      </c>
      <c r="H18" s="2">
        <v>559359.6</v>
      </c>
      <c r="I18" s="2">
        <v>92453.2</v>
      </c>
      <c r="J18" s="2">
        <v>48084</v>
      </c>
      <c r="K18" s="2">
        <v>29026.6</v>
      </c>
      <c r="L18" s="4">
        <v>26100</v>
      </c>
      <c r="M18" s="4">
        <v>37426.6</v>
      </c>
      <c r="N18" s="4">
        <f t="shared" si="1"/>
        <v>693611</v>
      </c>
      <c r="O18" s="4">
        <f t="shared" si="2"/>
        <v>767795</v>
      </c>
      <c r="P18" s="4">
        <f t="shared" si="3"/>
        <v>422287.25000000006</v>
      </c>
      <c r="Q18" s="40">
        <f t="shared" si="0"/>
        <v>76.287878787878796</v>
      </c>
      <c r="R18" s="31">
        <f t="shared" si="0"/>
        <v>75.056818181818187</v>
      </c>
      <c r="S18" s="40">
        <f t="shared" si="0"/>
        <v>5.9289772727272725</v>
      </c>
      <c r="T18" s="31">
        <f t="shared" si="0"/>
        <v>4.6695075757575752</v>
      </c>
    </row>
    <row r="19" spans="1:20" x14ac:dyDescent="0.25">
      <c r="A19" s="7">
        <v>17</v>
      </c>
      <c r="B19" s="5">
        <v>46070</v>
      </c>
      <c r="C19" s="2" t="s">
        <v>21</v>
      </c>
      <c r="D19" s="2">
        <v>429900</v>
      </c>
      <c r="E19" s="2">
        <v>411600</v>
      </c>
      <c r="F19" s="2">
        <v>25045</v>
      </c>
      <c r="G19" s="2">
        <v>33080</v>
      </c>
      <c r="H19" s="2">
        <v>611664.6</v>
      </c>
      <c r="I19" s="2">
        <v>90188.2</v>
      </c>
      <c r="J19" s="2">
        <v>50694</v>
      </c>
      <c r="K19" s="2">
        <v>32444.1</v>
      </c>
      <c r="L19" s="4">
        <v>26900</v>
      </c>
      <c r="M19" s="4">
        <v>37644.1</v>
      </c>
      <c r="N19" s="4">
        <f t="shared" si="1"/>
        <v>738861</v>
      </c>
      <c r="O19" s="4">
        <f t="shared" si="2"/>
        <v>816455</v>
      </c>
      <c r="P19" s="4">
        <f t="shared" si="3"/>
        <v>449050.25000000006</v>
      </c>
      <c r="Q19" s="40">
        <f t="shared" ref="Q19:T30" si="4">(D19/528000)*100</f>
        <v>81.420454545454547</v>
      </c>
      <c r="R19" s="31">
        <f t="shared" si="4"/>
        <v>77.954545454545453</v>
      </c>
      <c r="S19" s="40">
        <f t="shared" si="4"/>
        <v>4.7433712121212119</v>
      </c>
      <c r="T19" s="31">
        <f t="shared" si="4"/>
        <v>6.2651515151515156</v>
      </c>
    </row>
    <row r="20" spans="1:20" x14ac:dyDescent="0.25">
      <c r="A20" s="7">
        <v>18</v>
      </c>
      <c r="B20" s="5">
        <v>46071</v>
      </c>
      <c r="C20" s="2" t="s">
        <v>21</v>
      </c>
      <c r="D20" s="2">
        <v>436100</v>
      </c>
      <c r="E20" s="2">
        <v>408500</v>
      </c>
      <c r="F20" s="2">
        <v>27205</v>
      </c>
      <c r="G20" s="2">
        <v>29385</v>
      </c>
      <c r="H20" s="2">
        <v>605929.4</v>
      </c>
      <c r="I20" s="2">
        <v>92609.8</v>
      </c>
      <c r="J20" s="2">
        <v>51131</v>
      </c>
      <c r="K20" s="2">
        <v>32854.9</v>
      </c>
      <c r="L20" s="4">
        <v>26600</v>
      </c>
      <c r="M20" s="4">
        <v>37654.9</v>
      </c>
      <c r="N20" s="4">
        <f t="shared" si="1"/>
        <v>739664</v>
      </c>
      <c r="O20" s="4">
        <f t="shared" si="2"/>
        <v>817395</v>
      </c>
      <c r="P20" s="4">
        <f t="shared" si="3"/>
        <v>449567.25000000006</v>
      </c>
      <c r="Q20" s="40">
        <f t="shared" si="4"/>
        <v>82.594696969696969</v>
      </c>
      <c r="R20" s="31">
        <f t="shared" si="4"/>
        <v>77.367424242424249</v>
      </c>
      <c r="S20" s="40">
        <f t="shared" si="4"/>
        <v>5.1524621212121211</v>
      </c>
      <c r="T20" s="31">
        <f t="shared" si="4"/>
        <v>5.5653409090909092</v>
      </c>
    </row>
    <row r="21" spans="1:20" x14ac:dyDescent="0.25">
      <c r="A21" s="7">
        <v>19</v>
      </c>
      <c r="B21" s="5">
        <v>46072</v>
      </c>
      <c r="C21" s="2" t="s">
        <v>21</v>
      </c>
      <c r="D21" s="2">
        <v>445500</v>
      </c>
      <c r="E21" s="2">
        <v>410300</v>
      </c>
      <c r="F21" s="2">
        <v>20430</v>
      </c>
      <c r="G21" s="2">
        <v>31610</v>
      </c>
      <c r="H21" s="2">
        <v>620128.4</v>
      </c>
      <c r="I21" s="2">
        <v>98642.8</v>
      </c>
      <c r="J21" s="2">
        <v>51266</v>
      </c>
      <c r="K21" s="2">
        <v>32221.4</v>
      </c>
      <c r="L21" s="4">
        <v>27100</v>
      </c>
      <c r="M21" s="4">
        <v>37621.4</v>
      </c>
      <c r="N21" s="4">
        <f t="shared" si="1"/>
        <v>757004</v>
      </c>
      <c r="O21" s="4">
        <f t="shared" si="2"/>
        <v>835370</v>
      </c>
      <c r="P21" s="4">
        <f t="shared" si="3"/>
        <v>459453.50000000006</v>
      </c>
      <c r="Q21" s="40">
        <f t="shared" si="4"/>
        <v>84.375</v>
      </c>
      <c r="R21" s="31">
        <f t="shared" si="4"/>
        <v>77.708333333333329</v>
      </c>
      <c r="S21" s="40">
        <f t="shared" si="4"/>
        <v>3.8693181818181821</v>
      </c>
      <c r="T21" s="31">
        <f t="shared" si="4"/>
        <v>5.9867424242424239</v>
      </c>
    </row>
    <row r="22" spans="1:20" x14ac:dyDescent="0.25">
      <c r="A22" s="7">
        <v>20</v>
      </c>
      <c r="B22" s="5">
        <v>46073</v>
      </c>
      <c r="C22" s="2" t="s">
        <v>21</v>
      </c>
      <c r="D22" s="2">
        <v>420100</v>
      </c>
      <c r="E22" s="2">
        <v>417400</v>
      </c>
      <c r="F22" s="2">
        <v>19800</v>
      </c>
      <c r="G22" s="2">
        <v>35030</v>
      </c>
      <c r="H22" s="2">
        <v>599116.19999999995</v>
      </c>
      <c r="I22" s="2">
        <v>102205.4</v>
      </c>
      <c r="J22" s="2">
        <v>52503</v>
      </c>
      <c r="K22" s="2">
        <v>32552.7</v>
      </c>
      <c r="L22" s="4">
        <v>27700</v>
      </c>
      <c r="M22" s="4">
        <v>38652.699999999997</v>
      </c>
      <c r="N22" s="4">
        <f t="shared" si="1"/>
        <v>737497</v>
      </c>
      <c r="O22" s="4">
        <f t="shared" si="2"/>
        <v>817700</v>
      </c>
      <c r="P22" s="4">
        <f t="shared" si="3"/>
        <v>449735.00000000006</v>
      </c>
      <c r="Q22" s="40">
        <f t="shared" si="4"/>
        <v>79.564393939393938</v>
      </c>
      <c r="R22" s="31">
        <f t="shared" si="4"/>
        <v>79.053030303030297</v>
      </c>
      <c r="S22" s="40">
        <f t="shared" si="4"/>
        <v>3.75</v>
      </c>
      <c r="T22" s="31">
        <f t="shared" si="4"/>
        <v>6.6344696969696972</v>
      </c>
    </row>
    <row r="23" spans="1:20" x14ac:dyDescent="0.25">
      <c r="A23" s="7">
        <v>21</v>
      </c>
      <c r="B23" s="5">
        <v>46074</v>
      </c>
      <c r="C23" s="2" t="s">
        <v>21</v>
      </c>
      <c r="D23" s="2">
        <v>422200</v>
      </c>
      <c r="E23" s="2">
        <v>422600</v>
      </c>
      <c r="F23" s="2">
        <v>17945</v>
      </c>
      <c r="G23" s="2">
        <v>38540</v>
      </c>
      <c r="H23" s="2">
        <v>621745.19999999995</v>
      </c>
      <c r="I23" s="2">
        <v>93448.4</v>
      </c>
      <c r="J23" s="2">
        <v>52253</v>
      </c>
      <c r="K23" s="2">
        <v>30874.2</v>
      </c>
      <c r="L23" s="4">
        <v>28500</v>
      </c>
      <c r="M23" s="4">
        <v>38574.199999999997</v>
      </c>
      <c r="N23" s="4">
        <f t="shared" si="1"/>
        <v>746102</v>
      </c>
      <c r="O23" s="4">
        <f t="shared" si="2"/>
        <v>826855</v>
      </c>
      <c r="P23" s="4">
        <f t="shared" si="3"/>
        <v>454770.25000000006</v>
      </c>
      <c r="Q23" s="40">
        <f t="shared" si="4"/>
        <v>79.962121212121204</v>
      </c>
      <c r="R23" s="31">
        <f t="shared" si="4"/>
        <v>80.037878787878796</v>
      </c>
      <c r="S23" s="40">
        <f t="shared" si="4"/>
        <v>3.3986742424242427</v>
      </c>
      <c r="T23" s="31">
        <f t="shared" si="4"/>
        <v>7.2992424242424248</v>
      </c>
    </row>
    <row r="24" spans="1:20" x14ac:dyDescent="0.25">
      <c r="A24" s="7">
        <v>22</v>
      </c>
      <c r="B24" s="5">
        <v>46075</v>
      </c>
      <c r="C24" s="2" t="s">
        <v>21</v>
      </c>
      <c r="D24" s="2">
        <v>429400</v>
      </c>
      <c r="E24" s="2">
        <v>417500</v>
      </c>
      <c r="F24" s="2">
        <v>20670</v>
      </c>
      <c r="G24" s="2">
        <v>29715</v>
      </c>
      <c r="H24" s="2">
        <v>615057</v>
      </c>
      <c r="I24" s="2">
        <v>89019</v>
      </c>
      <c r="J24" s="2">
        <v>53850</v>
      </c>
      <c r="K24" s="2">
        <v>29959.5</v>
      </c>
      <c r="L24" s="4">
        <v>29100</v>
      </c>
      <c r="M24" s="4">
        <v>38959.5</v>
      </c>
      <c r="N24" s="4">
        <f t="shared" si="1"/>
        <v>743280</v>
      </c>
      <c r="O24" s="4">
        <f t="shared" si="2"/>
        <v>826230</v>
      </c>
      <c r="P24" s="4">
        <f t="shared" si="3"/>
        <v>454426.50000000006</v>
      </c>
      <c r="Q24" s="40">
        <f t="shared" si="4"/>
        <v>81.325757575757578</v>
      </c>
      <c r="R24" s="31">
        <f t="shared" si="4"/>
        <v>79.071969696969703</v>
      </c>
      <c r="S24" s="40">
        <f t="shared" si="4"/>
        <v>3.9147727272727271</v>
      </c>
      <c r="T24" s="31">
        <f t="shared" si="4"/>
        <v>5.6278409090909092</v>
      </c>
    </row>
    <row r="25" spans="1:20" x14ac:dyDescent="0.25">
      <c r="A25" s="7">
        <v>23</v>
      </c>
      <c r="B25" s="5">
        <v>46076</v>
      </c>
      <c r="C25" s="2" t="s">
        <v>21</v>
      </c>
      <c r="D25" s="2">
        <v>425200</v>
      </c>
      <c r="E25" s="2">
        <v>415000</v>
      </c>
      <c r="F25" s="2">
        <v>17940</v>
      </c>
      <c r="G25" s="2">
        <v>41995</v>
      </c>
      <c r="H25" s="2">
        <v>613955.19999999995</v>
      </c>
      <c r="I25" s="2">
        <v>101518.39999999999</v>
      </c>
      <c r="J25" s="2">
        <v>53263</v>
      </c>
      <c r="K25" s="2">
        <v>29509.200000000001</v>
      </c>
      <c r="L25" s="4">
        <v>27900</v>
      </c>
      <c r="M25" s="4">
        <v>38109.199999999997</v>
      </c>
      <c r="N25" s="4">
        <f t="shared" si="1"/>
        <v>741097</v>
      </c>
      <c r="O25" s="4">
        <f t="shared" si="2"/>
        <v>822260</v>
      </c>
      <c r="P25" s="4">
        <f t="shared" si="3"/>
        <v>452243.00000000006</v>
      </c>
      <c r="Q25" s="40">
        <f t="shared" si="4"/>
        <v>80.530303030303031</v>
      </c>
      <c r="R25" s="31">
        <f t="shared" si="4"/>
        <v>78.598484848484844</v>
      </c>
      <c r="S25" s="40">
        <f t="shared" si="4"/>
        <v>3.3977272727272725</v>
      </c>
      <c r="T25" s="31">
        <f t="shared" si="4"/>
        <v>7.9535984848484844</v>
      </c>
    </row>
    <row r="26" spans="1:20" x14ac:dyDescent="0.25">
      <c r="A26" s="7">
        <v>24</v>
      </c>
      <c r="B26" s="5">
        <v>46077</v>
      </c>
      <c r="C26" s="2" t="s">
        <v>21</v>
      </c>
      <c r="D26" s="2">
        <v>417400</v>
      </c>
      <c r="E26" s="2">
        <v>409900</v>
      </c>
      <c r="F26" s="2">
        <v>11845</v>
      </c>
      <c r="G26" s="2">
        <v>43590</v>
      </c>
      <c r="H26" s="2">
        <v>609283.19999999995</v>
      </c>
      <c r="I26" s="2">
        <v>101594.4</v>
      </c>
      <c r="J26" s="2">
        <v>52373</v>
      </c>
      <c r="K26" s="2">
        <v>30047.200000000001</v>
      </c>
      <c r="L26" s="4">
        <v>27900</v>
      </c>
      <c r="M26" s="4">
        <v>37847.199999999997</v>
      </c>
      <c r="N26" s="4">
        <f t="shared" si="1"/>
        <v>735182</v>
      </c>
      <c r="O26" s="4">
        <f t="shared" si="2"/>
        <v>815455</v>
      </c>
      <c r="P26" s="4">
        <f t="shared" si="3"/>
        <v>448500.25000000006</v>
      </c>
      <c r="Q26" s="40">
        <f t="shared" si="4"/>
        <v>79.053030303030297</v>
      </c>
      <c r="R26" s="31">
        <f t="shared" si="4"/>
        <v>77.632575757575765</v>
      </c>
      <c r="S26" s="40">
        <f t="shared" si="4"/>
        <v>2.2433712121212124</v>
      </c>
      <c r="T26" s="31">
        <f t="shared" si="4"/>
        <v>8.2556818181818183</v>
      </c>
    </row>
    <row r="27" spans="1:20" x14ac:dyDescent="0.25">
      <c r="A27" s="7">
        <v>25</v>
      </c>
      <c r="B27" s="5">
        <v>46078</v>
      </c>
      <c r="C27" s="2" t="s">
        <v>21</v>
      </c>
      <c r="D27" s="2">
        <v>399700</v>
      </c>
      <c r="E27" s="2">
        <v>421000</v>
      </c>
      <c r="F27" s="2">
        <v>12590</v>
      </c>
      <c r="G27" s="2">
        <v>51305</v>
      </c>
      <c r="H27" s="2">
        <v>600820</v>
      </c>
      <c r="I27" s="2">
        <v>110440</v>
      </c>
      <c r="J27" s="2">
        <v>52615</v>
      </c>
      <c r="K27" s="2">
        <v>28770</v>
      </c>
      <c r="L27" s="4">
        <v>28000</v>
      </c>
      <c r="M27" s="4">
        <v>38770</v>
      </c>
      <c r="N27" s="4">
        <f t="shared" si="1"/>
        <v>727495</v>
      </c>
      <c r="O27" s="4">
        <f t="shared" si="2"/>
        <v>808110</v>
      </c>
      <c r="P27" s="4">
        <f t="shared" si="3"/>
        <v>444460.50000000006</v>
      </c>
      <c r="Q27" s="40">
        <f t="shared" si="4"/>
        <v>75.700757575757578</v>
      </c>
      <c r="R27" s="31">
        <f t="shared" si="4"/>
        <v>79.734848484848484</v>
      </c>
      <c r="S27" s="40">
        <f t="shared" si="4"/>
        <v>2.3844696969696972</v>
      </c>
      <c r="T27" s="31">
        <f t="shared" si="4"/>
        <v>9.7168560606060606</v>
      </c>
    </row>
    <row r="28" spans="1:20" x14ac:dyDescent="0.25">
      <c r="A28" s="7">
        <v>26</v>
      </c>
      <c r="B28" s="5">
        <v>46079</v>
      </c>
      <c r="C28" s="2" t="s">
        <v>21</v>
      </c>
      <c r="D28" s="2">
        <v>384000</v>
      </c>
      <c r="E28" s="2">
        <v>419100</v>
      </c>
      <c r="F28" s="2">
        <v>11755</v>
      </c>
      <c r="G28" s="2">
        <v>53930</v>
      </c>
      <c r="H28" s="2">
        <v>618414</v>
      </c>
      <c r="I28" s="2">
        <v>80438</v>
      </c>
      <c r="J28" s="2">
        <v>53085</v>
      </c>
      <c r="K28" s="2">
        <v>26369</v>
      </c>
      <c r="L28" s="4">
        <v>27600</v>
      </c>
      <c r="M28" s="4">
        <v>39369</v>
      </c>
      <c r="N28" s="4">
        <f t="shared" si="1"/>
        <v>710660</v>
      </c>
      <c r="O28" s="4">
        <f t="shared" si="2"/>
        <v>791345</v>
      </c>
      <c r="P28" s="4">
        <f t="shared" si="3"/>
        <v>435239.75000000006</v>
      </c>
      <c r="Q28" s="40">
        <f t="shared" si="4"/>
        <v>72.727272727272734</v>
      </c>
      <c r="R28" s="31">
        <f t="shared" si="4"/>
        <v>79.375</v>
      </c>
      <c r="S28" s="40">
        <f t="shared" si="4"/>
        <v>2.2263257575757573</v>
      </c>
      <c r="T28" s="31">
        <f t="shared" si="4"/>
        <v>10.214015151515152</v>
      </c>
    </row>
    <row r="29" spans="1:20" x14ac:dyDescent="0.25">
      <c r="A29" s="7">
        <v>27</v>
      </c>
      <c r="B29" s="5">
        <v>46080</v>
      </c>
      <c r="C29" s="2" t="s">
        <v>21</v>
      </c>
      <c r="D29" s="2">
        <v>377800</v>
      </c>
      <c r="E29" s="2">
        <v>407300</v>
      </c>
      <c r="F29" s="2">
        <v>10455</v>
      </c>
      <c r="G29" s="2">
        <v>67175</v>
      </c>
      <c r="H29" s="2">
        <v>606992.19999999995</v>
      </c>
      <c r="I29" s="2">
        <v>87897.4</v>
      </c>
      <c r="J29" s="2">
        <v>52333</v>
      </c>
      <c r="K29" s="2">
        <v>27348.7</v>
      </c>
      <c r="L29" s="4">
        <v>28600</v>
      </c>
      <c r="M29" s="4">
        <v>38648.699999999997</v>
      </c>
      <c r="N29" s="4">
        <f t="shared" si="1"/>
        <v>693712</v>
      </c>
      <c r="O29" s="4">
        <f t="shared" si="2"/>
        <v>774645</v>
      </c>
      <c r="P29" s="4">
        <f t="shared" si="3"/>
        <v>426054.75000000006</v>
      </c>
      <c r="Q29" s="40">
        <f t="shared" si="4"/>
        <v>71.553030303030312</v>
      </c>
      <c r="R29" s="31">
        <f t="shared" si="4"/>
        <v>77.140151515151516</v>
      </c>
      <c r="S29" s="40">
        <f t="shared" si="4"/>
        <v>1.9801136363636365</v>
      </c>
      <c r="T29" s="31">
        <f t="shared" si="4"/>
        <v>12.722537878787879</v>
      </c>
    </row>
    <row r="30" spans="1:20" x14ac:dyDescent="0.25">
      <c r="A30" s="7">
        <v>28</v>
      </c>
      <c r="B30" s="5">
        <v>46081</v>
      </c>
      <c r="C30" s="33" t="s">
        <v>21</v>
      </c>
      <c r="D30" s="33">
        <v>379400</v>
      </c>
      <c r="E30" s="33">
        <v>408900</v>
      </c>
      <c r="F30" s="33">
        <v>22225</v>
      </c>
      <c r="G30" s="33">
        <v>53345</v>
      </c>
      <c r="H30" s="33">
        <v>574439</v>
      </c>
      <c r="I30" s="33">
        <v>97613</v>
      </c>
      <c r="J30" s="33">
        <v>51155</v>
      </c>
      <c r="K30" s="33">
        <v>28606.5</v>
      </c>
      <c r="L30" s="35">
        <v>28800</v>
      </c>
      <c r="M30" s="36">
        <v>38806.5</v>
      </c>
      <c r="N30" s="4">
        <f t="shared" si="1"/>
        <v>686120</v>
      </c>
      <c r="O30" s="4">
        <f t="shared" si="2"/>
        <v>766075</v>
      </c>
      <c r="P30" s="4">
        <f t="shared" si="3"/>
        <v>421341.25000000006</v>
      </c>
      <c r="Q30" s="41">
        <f t="shared" si="4"/>
        <v>71.856060606060595</v>
      </c>
      <c r="R30" s="38">
        <f t="shared" si="4"/>
        <v>77.443181818181813</v>
      </c>
      <c r="S30" s="41">
        <f t="shared" si="4"/>
        <v>4.2092803030303028</v>
      </c>
      <c r="T30" s="38">
        <f t="shared" si="4"/>
        <v>10.103219696969697</v>
      </c>
    </row>
    <row r="31" spans="1:20" x14ac:dyDescent="0.25">
      <c r="C31" s="8" t="s">
        <v>15</v>
      </c>
      <c r="D31" s="8">
        <f t="shared" ref="D31:M31" si="5">SUM(D3:D30)</f>
        <v>11291500</v>
      </c>
      <c r="E31" s="8">
        <f t="shared" si="5"/>
        <v>11508500</v>
      </c>
      <c r="F31" s="8">
        <f t="shared" si="5"/>
        <v>497645</v>
      </c>
      <c r="G31" s="8">
        <f t="shared" si="5"/>
        <v>1272505</v>
      </c>
      <c r="H31" s="8">
        <f t="shared" si="5"/>
        <v>16828741.199999996</v>
      </c>
      <c r="I31" s="23">
        <f t="shared" si="5"/>
        <v>2728580.3999999994</v>
      </c>
      <c r="J31" s="8">
        <f t="shared" si="5"/>
        <v>1400458</v>
      </c>
      <c r="K31" s="8">
        <f t="shared" si="5"/>
        <v>817940.19999999972</v>
      </c>
      <c r="L31" s="8">
        <f t="shared" si="5"/>
        <v>752500</v>
      </c>
      <c r="M31" s="8">
        <f t="shared" si="5"/>
        <v>1046640.1999999997</v>
      </c>
      <c r="N31" s="54">
        <f t="shared" si="1"/>
        <v>20149397</v>
      </c>
      <c r="O31" s="54">
        <f t="shared" si="2"/>
        <v>22302355</v>
      </c>
      <c r="P31" s="54">
        <f t="shared" si="3"/>
        <v>12266295.250000002</v>
      </c>
      <c r="Q31" s="47">
        <f>SUM(Q3:Q30)/30</f>
        <v>71.2847222222222</v>
      </c>
      <c r="R31" s="13">
        <f>SUM(R3:R30)/30</f>
        <v>72.654671717171723</v>
      </c>
      <c r="S31" s="47">
        <f>SUM(S3:S30)/30</f>
        <v>3.141698232323233</v>
      </c>
      <c r="T31" s="13">
        <f>SUM(T3:T30)/30</f>
        <v>8.0334911616161619</v>
      </c>
    </row>
    <row r="32" spans="1:20" x14ac:dyDescent="0.25">
      <c r="C32" s="8" t="s">
        <v>16</v>
      </c>
      <c r="D32" s="2">
        <v>11291500</v>
      </c>
      <c r="E32" s="2"/>
      <c r="F32" s="2">
        <v>507600</v>
      </c>
      <c r="G32" s="2">
        <v>1288380</v>
      </c>
      <c r="H32" s="2"/>
      <c r="I32" s="2"/>
      <c r="J32" s="2"/>
      <c r="K32" s="2"/>
      <c r="L32" s="2"/>
      <c r="M32" s="2"/>
      <c r="N32" s="2"/>
      <c r="O32" s="2"/>
      <c r="P32" s="2"/>
      <c r="Q32" s="53"/>
      <c r="R32" s="2"/>
      <c r="S32" s="53"/>
      <c r="T32" s="2"/>
    </row>
    <row r="33" spans="3:20" x14ac:dyDescent="0.25">
      <c r="C33" s="8" t="s">
        <v>17</v>
      </c>
      <c r="D33" s="2"/>
      <c r="E33" s="2"/>
      <c r="F33" s="56"/>
      <c r="G33" s="56"/>
      <c r="H33" s="60">
        <v>5920</v>
      </c>
      <c r="I33" s="61"/>
      <c r="J33" s="61"/>
      <c r="K33" s="61"/>
      <c r="L33" s="61"/>
      <c r="M33" s="62"/>
      <c r="N33" s="2"/>
      <c r="O33" s="2"/>
      <c r="P33" s="2"/>
      <c r="Q33" s="2"/>
      <c r="R33" s="4"/>
      <c r="S33" s="2"/>
      <c r="T33" s="4"/>
    </row>
    <row r="34" spans="3:20" x14ac:dyDescent="0.25">
      <c r="C34" s="8" t="s">
        <v>18</v>
      </c>
      <c r="D34" s="2"/>
      <c r="E34" s="2"/>
      <c r="F34" s="2"/>
      <c r="G34" s="2"/>
      <c r="H34" s="2">
        <f>H31+(H33*0.5)</f>
        <v>16831701.199999996</v>
      </c>
      <c r="I34" s="2">
        <f>I31+(H33*0.2)</f>
        <v>2729764.3999999994</v>
      </c>
      <c r="J34" s="2"/>
      <c r="K34" s="2">
        <f>K31+(H33*0.15)</f>
        <v>818828.19999999972</v>
      </c>
      <c r="L34" s="2"/>
      <c r="M34" s="2">
        <f>M31+(H33*0.15)</f>
        <v>1047528.1999999997</v>
      </c>
      <c r="N34" s="2"/>
      <c r="O34" s="2"/>
      <c r="P34" s="2"/>
      <c r="Q34" s="2"/>
      <c r="R34" s="2"/>
      <c r="S34" s="2"/>
      <c r="T34" s="2"/>
    </row>
    <row r="35" spans="3:20" x14ac:dyDescent="0.25">
      <c r="C35" s="8" t="s">
        <v>19</v>
      </c>
      <c r="D35" s="2">
        <v>748851.3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3:20" x14ac:dyDescent="0.25">
      <c r="C36" s="8" t="s">
        <v>20</v>
      </c>
      <c r="D36" s="2">
        <v>760142.8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3:20" x14ac:dyDescent="0.25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9" spans="3:20" x14ac:dyDescent="0.25">
      <c r="G39" s="48"/>
      <c r="H39" s="48"/>
      <c r="K39" s="51"/>
    </row>
    <row r="40" spans="3:20" x14ac:dyDescent="0.25">
      <c r="G40" s="48"/>
      <c r="H40" s="48"/>
      <c r="I40" s="48"/>
      <c r="J40" s="48"/>
      <c r="K40" s="48"/>
    </row>
    <row r="41" spans="3:20" x14ac:dyDescent="0.25">
      <c r="J41" s="48"/>
    </row>
    <row r="42" spans="3:20" x14ac:dyDescent="0.25">
      <c r="H42" s="48"/>
    </row>
  </sheetData>
  <mergeCells count="2">
    <mergeCell ref="A1:T1"/>
    <mergeCell ref="H33:M33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5"/>
  <sheetViews>
    <sheetView topLeftCell="A16" zoomScaleNormal="100" workbookViewId="0">
      <selection activeCell="H37" sqref="H37"/>
    </sheetView>
  </sheetViews>
  <sheetFormatPr defaultRowHeight="15" x14ac:dyDescent="0.25"/>
  <cols>
    <col min="2" max="2" width="10.42578125" bestFit="1" customWidth="1"/>
    <col min="3" max="3" width="18.5703125" bestFit="1" customWidth="1"/>
    <col min="4" max="4" width="11.140625" customWidth="1"/>
    <col min="5" max="5" width="18.85546875" customWidth="1"/>
    <col min="6" max="6" width="13.5703125" customWidth="1"/>
    <col min="7" max="7" width="11.5703125" bestFit="1" customWidth="1"/>
    <col min="9" max="9" width="11.5703125" bestFit="1" customWidth="1"/>
    <col min="10" max="10" width="13.85546875" customWidth="1"/>
    <col min="11" max="11" width="13.5703125" customWidth="1"/>
    <col min="12" max="12" width="10.42578125" customWidth="1"/>
    <col min="14" max="14" width="11.28515625" customWidth="1"/>
    <col min="15" max="15" width="11" customWidth="1"/>
    <col min="17" max="17" width="14" customWidth="1"/>
    <col min="18" max="18" width="11.140625" customWidth="1"/>
  </cols>
  <sheetData>
    <row r="1" spans="1:20" ht="40.5" customHeight="1" thickBot="1" x14ac:dyDescent="0.3">
      <c r="A1" s="59" t="s">
        <v>133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</row>
    <row r="2" spans="1:20" ht="61.5" customHeight="1" thickBot="1" x14ac:dyDescent="0.3">
      <c r="A2" s="9" t="s">
        <v>0</v>
      </c>
      <c r="B2" s="10" t="s">
        <v>1</v>
      </c>
      <c r="C2" s="10" t="s">
        <v>2</v>
      </c>
      <c r="D2" s="21" t="s">
        <v>56</v>
      </c>
      <c r="E2" s="21" t="s">
        <v>57</v>
      </c>
      <c r="F2" s="21" t="s">
        <v>4</v>
      </c>
      <c r="G2" s="21" t="s">
        <v>5</v>
      </c>
      <c r="H2" s="21" t="s">
        <v>6</v>
      </c>
      <c r="I2" s="21" t="s">
        <v>7</v>
      </c>
      <c r="J2" s="21" t="s">
        <v>64</v>
      </c>
      <c r="K2" s="21" t="s">
        <v>66</v>
      </c>
      <c r="L2" s="21" t="s">
        <v>100</v>
      </c>
      <c r="M2" s="21" t="s">
        <v>67</v>
      </c>
      <c r="N2" s="21" t="s">
        <v>10</v>
      </c>
      <c r="O2" s="21" t="s">
        <v>11</v>
      </c>
      <c r="P2" s="10" t="s">
        <v>12</v>
      </c>
      <c r="Q2" s="45" t="s">
        <v>54</v>
      </c>
      <c r="R2" s="46" t="s">
        <v>55</v>
      </c>
      <c r="S2" s="45" t="s">
        <v>54</v>
      </c>
      <c r="T2" s="46" t="s">
        <v>55</v>
      </c>
    </row>
    <row r="3" spans="1:20" x14ac:dyDescent="0.25">
      <c r="A3" s="6">
        <v>1</v>
      </c>
      <c r="B3" s="5">
        <v>46023</v>
      </c>
      <c r="C3" s="4" t="s">
        <v>21</v>
      </c>
      <c r="D3" s="4">
        <v>398500</v>
      </c>
      <c r="E3" s="4">
        <v>358200</v>
      </c>
      <c r="F3" s="4">
        <v>26585</v>
      </c>
      <c r="G3" s="4">
        <v>45090</v>
      </c>
      <c r="H3" s="4">
        <v>552148.19999999995</v>
      </c>
      <c r="I3" s="4">
        <v>86649.4</v>
      </c>
      <c r="J3" s="4">
        <v>46058</v>
      </c>
      <c r="K3" s="4">
        <v>34474.699999999997</v>
      </c>
      <c r="L3" s="4">
        <v>24500</v>
      </c>
      <c r="M3" s="4">
        <v>31374.7</v>
      </c>
      <c r="N3" s="4">
        <f>(D3+E3)-F3-J3-L3</f>
        <v>659557</v>
      </c>
      <c r="O3" s="4">
        <f>(D3+E3)-F3</f>
        <v>730115</v>
      </c>
      <c r="P3" s="4">
        <f>O3*0.55</f>
        <v>401563.25000000006</v>
      </c>
      <c r="Q3" s="40">
        <f t="shared" ref="Q3:T4" si="0">(D3/528000)*100</f>
        <v>75.473484848484844</v>
      </c>
      <c r="R3" s="31">
        <f t="shared" si="0"/>
        <v>67.840909090909093</v>
      </c>
      <c r="S3" s="40">
        <f t="shared" si="0"/>
        <v>5.0350378787878789</v>
      </c>
      <c r="T3" s="31">
        <f t="shared" si="0"/>
        <v>8.5397727272727284</v>
      </c>
    </row>
    <row r="4" spans="1:20" x14ac:dyDescent="0.25">
      <c r="A4" s="7">
        <v>2</v>
      </c>
      <c r="B4" s="5">
        <v>46024</v>
      </c>
      <c r="C4" s="2" t="s">
        <v>21</v>
      </c>
      <c r="D4" s="2">
        <v>386300</v>
      </c>
      <c r="E4" s="2">
        <v>367800</v>
      </c>
      <c r="F4" s="2">
        <v>24525</v>
      </c>
      <c r="G4" s="2">
        <v>44525</v>
      </c>
      <c r="H4" s="2">
        <v>561136</v>
      </c>
      <c r="I4" s="2">
        <v>77612</v>
      </c>
      <c r="J4" s="2">
        <v>44740</v>
      </c>
      <c r="K4" s="2">
        <v>34106</v>
      </c>
      <c r="L4" s="4">
        <v>24700</v>
      </c>
      <c r="M4" s="4">
        <v>31806</v>
      </c>
      <c r="N4" s="4">
        <f t="shared" ref="N4:N34" si="1">(D4+E4)-F4-J4-L4</f>
        <v>660135</v>
      </c>
      <c r="O4" s="4">
        <f t="shared" ref="O4:O34" si="2">(D4+E4)-F4</f>
        <v>729575</v>
      </c>
      <c r="P4" s="4">
        <f t="shared" ref="P4:P34" si="3">O4*0.55</f>
        <v>401266.25000000006</v>
      </c>
      <c r="Q4" s="40">
        <f t="shared" si="0"/>
        <v>73.162878787878796</v>
      </c>
      <c r="R4" s="31">
        <f t="shared" si="0"/>
        <v>69.659090909090907</v>
      </c>
      <c r="S4" s="40">
        <f t="shared" si="0"/>
        <v>4.6448863636363633</v>
      </c>
      <c r="T4" s="31">
        <f t="shared" si="0"/>
        <v>8.4327651515151505</v>
      </c>
    </row>
    <row r="5" spans="1:20" x14ac:dyDescent="0.25">
      <c r="A5" s="7">
        <v>3</v>
      </c>
      <c r="B5" s="5">
        <v>46025</v>
      </c>
      <c r="C5" s="2" t="s">
        <v>21</v>
      </c>
      <c r="D5" s="2">
        <v>410800</v>
      </c>
      <c r="E5" s="2">
        <v>337600</v>
      </c>
      <c r="F5" s="2">
        <v>12675</v>
      </c>
      <c r="G5" s="2">
        <v>59570</v>
      </c>
      <c r="H5" s="2">
        <v>569462</v>
      </c>
      <c r="I5" s="2">
        <v>89754</v>
      </c>
      <c r="J5" s="2">
        <v>46925</v>
      </c>
      <c r="K5" s="2">
        <v>34527</v>
      </c>
      <c r="L5" s="4">
        <v>23900</v>
      </c>
      <c r="M5" s="4">
        <v>30727</v>
      </c>
      <c r="N5" s="4">
        <f t="shared" si="1"/>
        <v>664900</v>
      </c>
      <c r="O5" s="4">
        <f t="shared" si="2"/>
        <v>735725</v>
      </c>
      <c r="P5" s="4">
        <f t="shared" si="3"/>
        <v>404648.75000000006</v>
      </c>
      <c r="Q5" s="40">
        <f t="shared" ref="Q5:R30" si="4">(D5/528000)*100</f>
        <v>77.803030303030312</v>
      </c>
      <c r="R5" s="31">
        <f t="shared" si="4"/>
        <v>63.939393939393938</v>
      </c>
      <c r="S5" s="40">
        <f t="shared" ref="S5:T30" si="5">(F5/528000)*100</f>
        <v>2.4005681818181817</v>
      </c>
      <c r="T5" s="31">
        <f t="shared" si="5"/>
        <v>11.282196969696971</v>
      </c>
    </row>
    <row r="6" spans="1:20" x14ac:dyDescent="0.25">
      <c r="A6" s="7">
        <v>4</v>
      </c>
      <c r="B6" s="5">
        <v>46026</v>
      </c>
      <c r="C6" s="2" t="s">
        <v>21</v>
      </c>
      <c r="D6" s="2">
        <v>407100</v>
      </c>
      <c r="E6" s="2">
        <v>346600</v>
      </c>
      <c r="F6" s="2">
        <v>12130</v>
      </c>
      <c r="G6" s="2">
        <v>57095</v>
      </c>
      <c r="H6" s="2">
        <v>602161.6</v>
      </c>
      <c r="I6" s="2">
        <v>59887.199999999997</v>
      </c>
      <c r="J6" s="2">
        <v>46129</v>
      </c>
      <c r="K6" s="2">
        <v>34643.599999999999</v>
      </c>
      <c r="L6" s="4">
        <v>24700</v>
      </c>
      <c r="M6" s="4">
        <v>31143.599999999999</v>
      </c>
      <c r="N6" s="4">
        <f t="shared" si="1"/>
        <v>670741</v>
      </c>
      <c r="O6" s="4">
        <f t="shared" si="2"/>
        <v>741570</v>
      </c>
      <c r="P6" s="4">
        <f t="shared" si="3"/>
        <v>407863.50000000006</v>
      </c>
      <c r="Q6" s="40">
        <f t="shared" si="4"/>
        <v>77.10227272727272</v>
      </c>
      <c r="R6" s="31">
        <f t="shared" si="4"/>
        <v>65.643939393939405</v>
      </c>
      <c r="S6" s="40">
        <f t="shared" si="5"/>
        <v>2.2973484848484849</v>
      </c>
      <c r="T6" s="31">
        <f t="shared" si="5"/>
        <v>10.813446969696971</v>
      </c>
    </row>
    <row r="7" spans="1:20" x14ac:dyDescent="0.25">
      <c r="A7" s="7">
        <v>5</v>
      </c>
      <c r="B7" s="5">
        <v>46027</v>
      </c>
      <c r="C7" s="2" t="s">
        <v>21</v>
      </c>
      <c r="D7" s="2">
        <v>437200</v>
      </c>
      <c r="E7" s="2">
        <v>343600</v>
      </c>
      <c r="F7" s="2">
        <v>5430</v>
      </c>
      <c r="G7" s="2">
        <v>76660</v>
      </c>
      <c r="H7" s="2">
        <v>610875.19999999995</v>
      </c>
      <c r="I7" s="2">
        <v>100758.39999999999</v>
      </c>
      <c r="J7" s="2">
        <v>49538</v>
      </c>
      <c r="K7" s="2">
        <v>34229.199999999997</v>
      </c>
      <c r="L7" s="4">
        <v>24400</v>
      </c>
      <c r="M7" s="4">
        <v>32229.200000000001</v>
      </c>
      <c r="N7" s="4">
        <f t="shared" si="1"/>
        <v>701432</v>
      </c>
      <c r="O7" s="4">
        <f t="shared" si="2"/>
        <v>775370</v>
      </c>
      <c r="P7" s="4">
        <f t="shared" si="3"/>
        <v>426453.50000000006</v>
      </c>
      <c r="Q7" s="40">
        <f t="shared" si="4"/>
        <v>82.803030303030297</v>
      </c>
      <c r="R7" s="31">
        <f t="shared" si="4"/>
        <v>65.075757575757578</v>
      </c>
      <c r="S7" s="40">
        <f t="shared" si="5"/>
        <v>1.0284090909090908</v>
      </c>
      <c r="T7" s="31">
        <f t="shared" si="5"/>
        <v>14.518939393939394</v>
      </c>
    </row>
    <row r="8" spans="1:20" x14ac:dyDescent="0.25">
      <c r="A8" s="7">
        <v>6</v>
      </c>
      <c r="B8" s="5">
        <v>46028</v>
      </c>
      <c r="C8" s="2" t="s">
        <v>21</v>
      </c>
      <c r="D8" s="2">
        <v>440100</v>
      </c>
      <c r="E8" s="2">
        <v>348700</v>
      </c>
      <c r="F8" s="2">
        <v>7455</v>
      </c>
      <c r="G8" s="2">
        <v>70815</v>
      </c>
      <c r="H8" s="2">
        <v>602675.80000000005</v>
      </c>
      <c r="I8" s="2">
        <v>110458.6</v>
      </c>
      <c r="J8" s="2">
        <v>48967</v>
      </c>
      <c r="K8" s="2">
        <v>34579.300000000003</v>
      </c>
      <c r="L8" s="4">
        <v>22800</v>
      </c>
      <c r="M8" s="4">
        <v>32679.3</v>
      </c>
      <c r="N8" s="4">
        <f t="shared" si="1"/>
        <v>709578</v>
      </c>
      <c r="O8" s="4">
        <f t="shared" si="2"/>
        <v>781345</v>
      </c>
      <c r="P8" s="4">
        <f t="shared" si="3"/>
        <v>429739.75000000006</v>
      </c>
      <c r="Q8" s="40">
        <f t="shared" si="4"/>
        <v>83.35227272727272</v>
      </c>
      <c r="R8" s="31">
        <f t="shared" si="4"/>
        <v>66.041666666666671</v>
      </c>
      <c r="S8" s="40">
        <f t="shared" si="5"/>
        <v>1.4119318181818183</v>
      </c>
      <c r="T8" s="31">
        <f t="shared" si="5"/>
        <v>13.411931818181818</v>
      </c>
    </row>
    <row r="9" spans="1:20" x14ac:dyDescent="0.25">
      <c r="A9" s="7">
        <v>7</v>
      </c>
      <c r="B9" s="5">
        <v>46029</v>
      </c>
      <c r="C9" s="2" t="s">
        <v>21</v>
      </c>
      <c r="D9" s="2">
        <v>441100</v>
      </c>
      <c r="E9" s="2">
        <v>342700</v>
      </c>
      <c r="F9" s="2">
        <v>8580</v>
      </c>
      <c r="G9" s="2">
        <v>70010</v>
      </c>
      <c r="H9" s="2">
        <v>598842.6</v>
      </c>
      <c r="I9" s="2">
        <v>106414.2</v>
      </c>
      <c r="J9" s="2">
        <v>48659</v>
      </c>
      <c r="K9" s="2">
        <v>34207.1</v>
      </c>
      <c r="L9" s="4">
        <v>23800</v>
      </c>
      <c r="M9" s="4">
        <v>33307.1</v>
      </c>
      <c r="N9" s="4">
        <f t="shared" si="1"/>
        <v>702761</v>
      </c>
      <c r="O9" s="4">
        <f t="shared" si="2"/>
        <v>775220</v>
      </c>
      <c r="P9" s="4">
        <f t="shared" si="3"/>
        <v>426371.00000000006</v>
      </c>
      <c r="Q9" s="40">
        <f t="shared" si="4"/>
        <v>83.541666666666671</v>
      </c>
      <c r="R9" s="31">
        <f t="shared" si="4"/>
        <v>64.905303030303031</v>
      </c>
      <c r="S9" s="40">
        <f t="shared" si="5"/>
        <v>1.625</v>
      </c>
      <c r="T9" s="31">
        <f t="shared" si="5"/>
        <v>13.259469696969697</v>
      </c>
    </row>
    <row r="10" spans="1:20" x14ac:dyDescent="0.25">
      <c r="A10" s="7">
        <v>8</v>
      </c>
      <c r="B10" s="5">
        <v>46030</v>
      </c>
      <c r="C10" s="2" t="s">
        <v>21</v>
      </c>
      <c r="D10" s="2">
        <v>435600</v>
      </c>
      <c r="E10" s="2">
        <v>349700</v>
      </c>
      <c r="F10" s="2">
        <v>13905</v>
      </c>
      <c r="G10" s="2">
        <v>58195</v>
      </c>
      <c r="H10" s="2">
        <v>610263</v>
      </c>
      <c r="I10" s="2">
        <v>80121</v>
      </c>
      <c r="J10" s="2">
        <v>47885</v>
      </c>
      <c r="K10" s="2">
        <v>35210.5</v>
      </c>
      <c r="L10" s="4">
        <v>24200</v>
      </c>
      <c r="M10" s="4">
        <v>31910.5</v>
      </c>
      <c r="N10" s="4">
        <f t="shared" si="1"/>
        <v>699310</v>
      </c>
      <c r="O10" s="4">
        <f t="shared" si="2"/>
        <v>771395</v>
      </c>
      <c r="P10" s="4">
        <f t="shared" si="3"/>
        <v>424267.25000000006</v>
      </c>
      <c r="Q10" s="40">
        <f t="shared" si="4"/>
        <v>82.5</v>
      </c>
      <c r="R10" s="31">
        <f t="shared" si="4"/>
        <v>66.231060606060609</v>
      </c>
      <c r="S10" s="40">
        <f t="shared" si="5"/>
        <v>2.6335227272727275</v>
      </c>
      <c r="T10" s="31">
        <f t="shared" si="5"/>
        <v>11.021780303030303</v>
      </c>
    </row>
    <row r="11" spans="1:20" x14ac:dyDescent="0.25">
      <c r="A11" s="7">
        <v>9</v>
      </c>
      <c r="B11" s="5">
        <v>46031</v>
      </c>
      <c r="C11" s="2" t="s">
        <v>21</v>
      </c>
      <c r="D11" s="2">
        <v>414000</v>
      </c>
      <c r="E11" s="2">
        <v>358100</v>
      </c>
      <c r="F11" s="2">
        <v>7395</v>
      </c>
      <c r="G11" s="2">
        <v>77040</v>
      </c>
      <c r="H11" s="2">
        <v>592566</v>
      </c>
      <c r="I11" s="2">
        <v>110022</v>
      </c>
      <c r="J11" s="2">
        <v>47135</v>
      </c>
      <c r="K11" s="2">
        <v>33311</v>
      </c>
      <c r="L11" s="4">
        <v>23100</v>
      </c>
      <c r="M11" s="4">
        <v>35611</v>
      </c>
      <c r="N11" s="4">
        <f t="shared" si="1"/>
        <v>694470</v>
      </c>
      <c r="O11" s="4">
        <f t="shared" si="2"/>
        <v>764705</v>
      </c>
      <c r="P11" s="4">
        <f t="shared" si="3"/>
        <v>420587.75000000006</v>
      </c>
      <c r="Q11" s="40">
        <f t="shared" si="4"/>
        <v>78.409090909090907</v>
      </c>
      <c r="R11" s="31">
        <f t="shared" si="4"/>
        <v>67.821969696969703</v>
      </c>
      <c r="S11" s="40">
        <f t="shared" si="5"/>
        <v>1.4005681818181819</v>
      </c>
      <c r="T11" s="31">
        <f t="shared" si="5"/>
        <v>14.59090909090909</v>
      </c>
    </row>
    <row r="12" spans="1:20" x14ac:dyDescent="0.25">
      <c r="A12" s="7">
        <v>10</v>
      </c>
      <c r="B12" s="5">
        <v>46032</v>
      </c>
      <c r="C12" s="2" t="s">
        <v>21</v>
      </c>
      <c r="D12" s="2">
        <v>420600</v>
      </c>
      <c r="E12" s="2">
        <v>353700</v>
      </c>
      <c r="F12" s="2">
        <v>5175</v>
      </c>
      <c r="G12" s="2">
        <v>80480</v>
      </c>
      <c r="H12" s="2">
        <v>595327.4</v>
      </c>
      <c r="I12" s="2">
        <v>115375.8</v>
      </c>
      <c r="J12" s="2">
        <v>48226</v>
      </c>
      <c r="K12" s="2">
        <v>31987.9</v>
      </c>
      <c r="L12" s="4">
        <v>22900</v>
      </c>
      <c r="M12" s="4">
        <v>35787.9</v>
      </c>
      <c r="N12" s="4">
        <f t="shared" si="1"/>
        <v>697999</v>
      </c>
      <c r="O12" s="4">
        <f t="shared" si="2"/>
        <v>769125</v>
      </c>
      <c r="P12" s="4">
        <f t="shared" si="3"/>
        <v>423018.75000000006</v>
      </c>
      <c r="Q12" s="40">
        <f t="shared" si="4"/>
        <v>79.659090909090907</v>
      </c>
      <c r="R12" s="31">
        <f t="shared" si="4"/>
        <v>66.988636363636374</v>
      </c>
      <c r="S12" s="40">
        <f t="shared" si="5"/>
        <v>0.98011363636363646</v>
      </c>
      <c r="T12" s="31">
        <f t="shared" si="5"/>
        <v>15.242424242424244</v>
      </c>
    </row>
    <row r="13" spans="1:20" x14ac:dyDescent="0.25">
      <c r="A13" s="7">
        <v>11</v>
      </c>
      <c r="B13" s="5">
        <v>46033</v>
      </c>
      <c r="C13" s="2" t="s">
        <v>21</v>
      </c>
      <c r="D13" s="2">
        <v>416900</v>
      </c>
      <c r="E13" s="2">
        <v>354300</v>
      </c>
      <c r="F13" s="2">
        <v>7760</v>
      </c>
      <c r="G13" s="2">
        <v>66895</v>
      </c>
      <c r="H13" s="2">
        <v>603555</v>
      </c>
      <c r="I13" s="2">
        <v>89885</v>
      </c>
      <c r="J13" s="2">
        <v>49910</v>
      </c>
      <c r="K13" s="2">
        <v>30892.5</v>
      </c>
      <c r="L13" s="4">
        <v>23100</v>
      </c>
      <c r="M13" s="4">
        <v>32992.5</v>
      </c>
      <c r="N13" s="4">
        <f t="shared" si="1"/>
        <v>690430</v>
      </c>
      <c r="O13" s="4">
        <f t="shared" si="2"/>
        <v>763440</v>
      </c>
      <c r="P13" s="4">
        <f t="shared" si="3"/>
        <v>419892.00000000006</v>
      </c>
      <c r="Q13" s="40">
        <f t="shared" si="4"/>
        <v>78.958333333333329</v>
      </c>
      <c r="R13" s="31">
        <f t="shared" si="4"/>
        <v>67.102272727272734</v>
      </c>
      <c r="S13" s="40">
        <f t="shared" si="5"/>
        <v>1.4696969696969697</v>
      </c>
      <c r="T13" s="31">
        <f t="shared" si="5"/>
        <v>12.669507575757578</v>
      </c>
    </row>
    <row r="14" spans="1:20" x14ac:dyDescent="0.25">
      <c r="A14" s="7">
        <v>12</v>
      </c>
      <c r="B14" s="5">
        <v>46034</v>
      </c>
      <c r="C14" s="2" t="s">
        <v>21</v>
      </c>
      <c r="D14" s="2">
        <v>413500</v>
      </c>
      <c r="E14" s="2">
        <v>356600</v>
      </c>
      <c r="F14" s="2">
        <v>8000</v>
      </c>
      <c r="G14" s="2">
        <v>70860</v>
      </c>
      <c r="H14" s="2">
        <v>589132</v>
      </c>
      <c r="I14" s="2">
        <v>104344</v>
      </c>
      <c r="J14" s="2">
        <v>51140</v>
      </c>
      <c r="K14" s="2">
        <v>31322</v>
      </c>
      <c r="L14" s="4">
        <v>24400</v>
      </c>
      <c r="M14" s="4">
        <v>32622</v>
      </c>
      <c r="N14" s="4">
        <f t="shared" si="1"/>
        <v>686560</v>
      </c>
      <c r="O14" s="4">
        <f t="shared" si="2"/>
        <v>762100</v>
      </c>
      <c r="P14" s="4">
        <f t="shared" si="3"/>
        <v>419155.00000000006</v>
      </c>
      <c r="Q14" s="40">
        <f t="shared" si="4"/>
        <v>78.314393939393938</v>
      </c>
      <c r="R14" s="31">
        <f t="shared" si="4"/>
        <v>67.537878787878796</v>
      </c>
      <c r="S14" s="40">
        <f t="shared" si="5"/>
        <v>1.5151515151515151</v>
      </c>
      <c r="T14" s="31">
        <f t="shared" si="5"/>
        <v>13.420454545454547</v>
      </c>
    </row>
    <row r="15" spans="1:20" x14ac:dyDescent="0.25">
      <c r="A15" s="7">
        <v>13</v>
      </c>
      <c r="B15" s="5">
        <v>46035</v>
      </c>
      <c r="C15" s="2" t="s">
        <v>21</v>
      </c>
      <c r="D15" s="2">
        <v>410400</v>
      </c>
      <c r="E15" s="2">
        <v>378700</v>
      </c>
      <c r="F15" s="2">
        <v>17255</v>
      </c>
      <c r="G15" s="2">
        <v>47005</v>
      </c>
      <c r="H15" s="2">
        <v>576348</v>
      </c>
      <c r="I15" s="2">
        <v>100916</v>
      </c>
      <c r="J15" s="2">
        <v>48770</v>
      </c>
      <c r="K15" s="2">
        <v>34458</v>
      </c>
      <c r="L15" s="4">
        <v>23900</v>
      </c>
      <c r="M15" s="4">
        <v>34458</v>
      </c>
      <c r="N15" s="4">
        <f t="shared" si="1"/>
        <v>699175</v>
      </c>
      <c r="O15" s="4">
        <f t="shared" si="2"/>
        <v>771845</v>
      </c>
      <c r="P15" s="4">
        <f t="shared" si="3"/>
        <v>424514.75000000006</v>
      </c>
      <c r="Q15" s="40">
        <f t="shared" si="4"/>
        <v>77.72727272727272</v>
      </c>
      <c r="R15" s="31">
        <f t="shared" si="4"/>
        <v>71.723484848484858</v>
      </c>
      <c r="S15" s="40">
        <f t="shared" si="5"/>
        <v>3.2679924242424239</v>
      </c>
      <c r="T15" s="31">
        <f t="shared" si="5"/>
        <v>8.9024621212121211</v>
      </c>
    </row>
    <row r="16" spans="1:20" x14ac:dyDescent="0.25">
      <c r="A16" s="7">
        <v>14</v>
      </c>
      <c r="B16" s="5">
        <v>46036</v>
      </c>
      <c r="C16" s="2" t="s">
        <v>21</v>
      </c>
      <c r="D16" s="2">
        <v>389600</v>
      </c>
      <c r="E16" s="2">
        <v>377500</v>
      </c>
      <c r="F16" s="2">
        <v>16895</v>
      </c>
      <c r="G16" s="2">
        <v>57020</v>
      </c>
      <c r="H16" s="2">
        <v>563400.4</v>
      </c>
      <c r="I16" s="2">
        <v>107066.8</v>
      </c>
      <c r="J16" s="2">
        <v>45191</v>
      </c>
      <c r="K16" s="2">
        <v>32683.4</v>
      </c>
      <c r="L16" s="4">
        <v>24300</v>
      </c>
      <c r="M16" s="4">
        <v>34583.4</v>
      </c>
      <c r="N16" s="4">
        <f t="shared" si="1"/>
        <v>680714</v>
      </c>
      <c r="O16" s="4">
        <f t="shared" si="2"/>
        <v>750205</v>
      </c>
      <c r="P16" s="4">
        <f t="shared" si="3"/>
        <v>412612.75000000006</v>
      </c>
      <c r="Q16" s="40">
        <f t="shared" si="4"/>
        <v>73.787878787878796</v>
      </c>
      <c r="R16" s="31">
        <f t="shared" si="4"/>
        <v>71.496212121212125</v>
      </c>
      <c r="S16" s="40">
        <f t="shared" si="5"/>
        <v>3.199810606060606</v>
      </c>
      <c r="T16" s="31">
        <f t="shared" si="5"/>
        <v>10.799242424242424</v>
      </c>
    </row>
    <row r="17" spans="1:20" x14ac:dyDescent="0.25">
      <c r="A17" s="7">
        <v>15</v>
      </c>
      <c r="B17" s="5">
        <v>46037</v>
      </c>
      <c r="C17" s="2" t="s">
        <v>21</v>
      </c>
      <c r="D17" s="2">
        <v>390100</v>
      </c>
      <c r="E17" s="2">
        <v>375400</v>
      </c>
      <c r="F17" s="2">
        <v>20490</v>
      </c>
      <c r="G17" s="2">
        <v>44975</v>
      </c>
      <c r="H17" s="2">
        <v>556846.4</v>
      </c>
      <c r="I17" s="2">
        <v>99548.800000000003</v>
      </c>
      <c r="J17" s="2">
        <v>45041</v>
      </c>
      <c r="K17" s="2">
        <v>30974.400000000001</v>
      </c>
      <c r="L17" s="4">
        <v>23300</v>
      </c>
      <c r="M17" s="4">
        <v>34274.400000000001</v>
      </c>
      <c r="N17" s="4">
        <f t="shared" si="1"/>
        <v>676669</v>
      </c>
      <c r="O17" s="4">
        <f t="shared" si="2"/>
        <v>745010</v>
      </c>
      <c r="P17" s="4">
        <f t="shared" si="3"/>
        <v>409755.50000000006</v>
      </c>
      <c r="Q17" s="40">
        <f t="shared" si="4"/>
        <v>73.882575757575751</v>
      </c>
      <c r="R17" s="31">
        <f t="shared" si="4"/>
        <v>71.098484848484844</v>
      </c>
      <c r="S17" s="40">
        <f t="shared" si="5"/>
        <v>3.8806818181818179</v>
      </c>
      <c r="T17" s="31">
        <f t="shared" si="5"/>
        <v>8.5179924242424239</v>
      </c>
    </row>
    <row r="18" spans="1:20" x14ac:dyDescent="0.25">
      <c r="A18" s="7">
        <v>16</v>
      </c>
      <c r="B18" s="5">
        <v>46038</v>
      </c>
      <c r="C18" s="2" t="s">
        <v>21</v>
      </c>
      <c r="D18" s="2">
        <v>322800</v>
      </c>
      <c r="E18" s="2">
        <v>379700</v>
      </c>
      <c r="F18" s="2">
        <v>126060</v>
      </c>
      <c r="G18" s="2">
        <v>1970</v>
      </c>
      <c r="H18" s="2">
        <v>371565</v>
      </c>
      <c r="I18" s="2">
        <v>78555</v>
      </c>
      <c r="J18" s="2">
        <v>38535</v>
      </c>
      <c r="K18" s="2">
        <v>30677.5</v>
      </c>
      <c r="L18" s="4">
        <v>23800</v>
      </c>
      <c r="M18" s="4">
        <v>35277.5</v>
      </c>
      <c r="N18" s="4">
        <f t="shared" si="1"/>
        <v>514105</v>
      </c>
      <c r="O18" s="4">
        <f t="shared" si="2"/>
        <v>576440</v>
      </c>
      <c r="P18" s="4">
        <f t="shared" si="3"/>
        <v>317042</v>
      </c>
      <c r="Q18" s="40">
        <f t="shared" si="4"/>
        <v>61.136363636363633</v>
      </c>
      <c r="R18" s="31">
        <f t="shared" si="4"/>
        <v>71.912878787878782</v>
      </c>
      <c r="S18" s="40">
        <f t="shared" si="5"/>
        <v>23.875</v>
      </c>
      <c r="T18" s="31">
        <f t="shared" si="5"/>
        <v>0.37310606060606061</v>
      </c>
    </row>
    <row r="19" spans="1:20" x14ac:dyDescent="0.25">
      <c r="A19" s="7">
        <v>17</v>
      </c>
      <c r="B19" s="5">
        <v>46039</v>
      </c>
      <c r="C19" s="2" t="s">
        <v>21</v>
      </c>
      <c r="D19" s="2">
        <v>395900</v>
      </c>
      <c r="E19" s="2">
        <v>388800</v>
      </c>
      <c r="F19" s="2">
        <v>60935</v>
      </c>
      <c r="G19" s="2">
        <v>15770</v>
      </c>
      <c r="H19" s="2">
        <v>503271.4</v>
      </c>
      <c r="I19" s="2">
        <v>102323.8</v>
      </c>
      <c r="J19" s="2">
        <v>44916</v>
      </c>
      <c r="K19" s="2">
        <v>29161.9</v>
      </c>
      <c r="L19" s="4">
        <v>24300</v>
      </c>
      <c r="M19" s="4">
        <v>35561.9</v>
      </c>
      <c r="N19" s="4">
        <f t="shared" si="1"/>
        <v>654549</v>
      </c>
      <c r="O19" s="4">
        <f t="shared" si="2"/>
        <v>723765</v>
      </c>
      <c r="P19" s="4">
        <f t="shared" si="3"/>
        <v>398070.75000000006</v>
      </c>
      <c r="Q19" s="40">
        <f t="shared" si="4"/>
        <v>74.981060606060595</v>
      </c>
      <c r="R19" s="31">
        <f t="shared" si="4"/>
        <v>73.636363636363626</v>
      </c>
      <c r="S19" s="40">
        <f t="shared" si="5"/>
        <v>11.540719696969697</v>
      </c>
      <c r="T19" s="31">
        <f t="shared" si="5"/>
        <v>2.9867424242424243</v>
      </c>
    </row>
    <row r="20" spans="1:20" x14ac:dyDescent="0.25">
      <c r="A20" s="7">
        <v>18</v>
      </c>
      <c r="B20" s="5">
        <v>46040</v>
      </c>
      <c r="C20" s="2" t="s">
        <v>21</v>
      </c>
      <c r="D20" s="2">
        <v>371100</v>
      </c>
      <c r="E20" s="2">
        <v>374300</v>
      </c>
      <c r="F20" s="2">
        <v>54050</v>
      </c>
      <c r="G20" s="2">
        <v>13895</v>
      </c>
      <c r="H20" s="2">
        <v>474627.2</v>
      </c>
      <c r="I20" s="2">
        <v>99842.4</v>
      </c>
      <c r="J20" s="2">
        <v>43533</v>
      </c>
      <c r="K20" s="2">
        <v>28671.200000000001</v>
      </c>
      <c r="L20" s="4">
        <v>24300</v>
      </c>
      <c r="M20" s="4">
        <v>34271.199999999997</v>
      </c>
      <c r="N20" s="4">
        <f t="shared" si="1"/>
        <v>623517</v>
      </c>
      <c r="O20" s="4">
        <f t="shared" si="2"/>
        <v>691350</v>
      </c>
      <c r="P20" s="4">
        <f t="shared" si="3"/>
        <v>380242.50000000006</v>
      </c>
      <c r="Q20" s="40">
        <f t="shared" si="4"/>
        <v>70.284090909090907</v>
      </c>
      <c r="R20" s="31">
        <f t="shared" si="4"/>
        <v>70.890151515151516</v>
      </c>
      <c r="S20" s="40">
        <f t="shared" si="5"/>
        <v>10.236742424242424</v>
      </c>
      <c r="T20" s="31">
        <f t="shared" si="5"/>
        <v>2.6316287878787881</v>
      </c>
    </row>
    <row r="21" spans="1:20" x14ac:dyDescent="0.25">
      <c r="A21" s="7">
        <v>19</v>
      </c>
      <c r="B21" s="5">
        <v>46041</v>
      </c>
      <c r="C21" s="2" t="s">
        <v>21</v>
      </c>
      <c r="D21" s="2">
        <v>392800</v>
      </c>
      <c r="E21" s="2">
        <v>382100</v>
      </c>
      <c r="F21" s="2">
        <v>95690</v>
      </c>
      <c r="G21" s="2">
        <v>2425</v>
      </c>
      <c r="H21" s="2">
        <v>456925.4</v>
      </c>
      <c r="I21" s="2">
        <v>86141.8</v>
      </c>
      <c r="J21" s="2">
        <v>46426</v>
      </c>
      <c r="K21" s="2">
        <v>32670.9</v>
      </c>
      <c r="L21" s="4">
        <v>24800</v>
      </c>
      <c r="M21" s="4">
        <v>34670.9</v>
      </c>
      <c r="N21" s="4">
        <f t="shared" si="1"/>
        <v>607984</v>
      </c>
      <c r="O21" s="4">
        <f t="shared" si="2"/>
        <v>679210</v>
      </c>
      <c r="P21" s="4">
        <f t="shared" si="3"/>
        <v>373565.50000000006</v>
      </c>
      <c r="Q21" s="40">
        <f t="shared" si="4"/>
        <v>74.393939393939391</v>
      </c>
      <c r="R21" s="31">
        <f t="shared" si="4"/>
        <v>72.367424242424235</v>
      </c>
      <c r="S21" s="40">
        <f t="shared" si="5"/>
        <v>18.123106060606062</v>
      </c>
      <c r="T21" s="31">
        <f t="shared" si="5"/>
        <v>0.45928030303030304</v>
      </c>
    </row>
    <row r="22" spans="1:20" x14ac:dyDescent="0.25">
      <c r="A22" s="7">
        <v>20</v>
      </c>
      <c r="B22" s="5">
        <v>46042</v>
      </c>
      <c r="C22" s="2" t="s">
        <v>21</v>
      </c>
      <c r="D22" s="2">
        <v>427500</v>
      </c>
      <c r="E22" s="2">
        <v>374900</v>
      </c>
      <c r="F22" s="2">
        <v>48555</v>
      </c>
      <c r="G22" s="2">
        <v>10085</v>
      </c>
      <c r="H22" s="2">
        <v>518986.4</v>
      </c>
      <c r="I22" s="2">
        <v>103328.8</v>
      </c>
      <c r="J22" s="2">
        <v>49886</v>
      </c>
      <c r="K22" s="2">
        <v>33564.400000000001</v>
      </c>
      <c r="L22" s="4">
        <v>24500</v>
      </c>
      <c r="M22" s="4">
        <v>33664.400000000001</v>
      </c>
      <c r="N22" s="4">
        <f t="shared" si="1"/>
        <v>679459</v>
      </c>
      <c r="O22" s="4">
        <f t="shared" si="2"/>
        <v>753845</v>
      </c>
      <c r="P22" s="4">
        <f t="shared" si="3"/>
        <v>414614.75000000006</v>
      </c>
      <c r="Q22" s="40">
        <f t="shared" si="4"/>
        <v>80.965909090909093</v>
      </c>
      <c r="R22" s="31">
        <f t="shared" si="4"/>
        <v>71.00378787878789</v>
      </c>
      <c r="S22" s="40">
        <f t="shared" si="5"/>
        <v>9.1960227272727284</v>
      </c>
      <c r="T22" s="31">
        <f t="shared" si="5"/>
        <v>1.9100378787878787</v>
      </c>
    </row>
    <row r="23" spans="1:20" x14ac:dyDescent="0.25">
      <c r="A23" s="7">
        <v>21</v>
      </c>
      <c r="B23" s="5">
        <v>46043</v>
      </c>
      <c r="C23" s="2" t="s">
        <v>21</v>
      </c>
      <c r="D23" s="2">
        <v>432900</v>
      </c>
      <c r="E23" s="2">
        <v>382300</v>
      </c>
      <c r="F23" s="2">
        <v>66510</v>
      </c>
      <c r="G23" s="2">
        <v>145</v>
      </c>
      <c r="H23" s="2">
        <v>516927.6</v>
      </c>
      <c r="I23" s="2">
        <v>92609.2</v>
      </c>
      <c r="J23" s="2">
        <v>48289</v>
      </c>
      <c r="K23" s="2">
        <v>32704.6</v>
      </c>
      <c r="L23" s="4">
        <v>24400</v>
      </c>
      <c r="M23" s="4">
        <v>33904.6</v>
      </c>
      <c r="N23" s="4">
        <f t="shared" si="1"/>
        <v>676001</v>
      </c>
      <c r="O23" s="4">
        <f t="shared" si="2"/>
        <v>748690</v>
      </c>
      <c r="P23" s="4">
        <f t="shared" si="3"/>
        <v>411779.50000000006</v>
      </c>
      <c r="Q23" s="40">
        <f t="shared" si="4"/>
        <v>81.988636363636374</v>
      </c>
      <c r="R23" s="31">
        <f t="shared" si="4"/>
        <v>72.405303030303031</v>
      </c>
      <c r="S23" s="40">
        <f t="shared" si="5"/>
        <v>12.59659090909091</v>
      </c>
      <c r="T23" s="31">
        <f t="shared" si="5"/>
        <v>2.7462121212121209E-2</v>
      </c>
    </row>
    <row r="24" spans="1:20" x14ac:dyDescent="0.25">
      <c r="A24" s="7">
        <v>22</v>
      </c>
      <c r="B24" s="5">
        <v>46044</v>
      </c>
      <c r="C24" s="2" t="s">
        <v>21</v>
      </c>
      <c r="D24" s="2">
        <v>428100</v>
      </c>
      <c r="E24" s="2">
        <v>383300</v>
      </c>
      <c r="F24" s="2">
        <v>38905</v>
      </c>
      <c r="G24" s="2">
        <v>10960</v>
      </c>
      <c r="H24" s="2">
        <v>533249</v>
      </c>
      <c r="I24" s="2">
        <v>108883</v>
      </c>
      <c r="J24" s="2">
        <v>48740</v>
      </c>
      <c r="K24" s="2">
        <v>33441.5</v>
      </c>
      <c r="L24" s="4">
        <v>24700</v>
      </c>
      <c r="M24" s="4">
        <v>34441.5</v>
      </c>
      <c r="N24" s="4">
        <f t="shared" si="1"/>
        <v>699055</v>
      </c>
      <c r="O24" s="4">
        <f t="shared" si="2"/>
        <v>772495</v>
      </c>
      <c r="P24" s="4">
        <f t="shared" si="3"/>
        <v>424872.25000000006</v>
      </c>
      <c r="Q24" s="40">
        <f t="shared" si="4"/>
        <v>81.079545454545453</v>
      </c>
      <c r="R24" s="31">
        <f t="shared" si="4"/>
        <v>72.594696969696969</v>
      </c>
      <c r="S24" s="40">
        <f t="shared" si="5"/>
        <v>7.3683712121212119</v>
      </c>
      <c r="T24" s="31">
        <f t="shared" si="5"/>
        <v>2.0757575757575757</v>
      </c>
    </row>
    <row r="25" spans="1:20" x14ac:dyDescent="0.25">
      <c r="A25" s="7">
        <v>23</v>
      </c>
      <c r="B25" s="5">
        <v>46045</v>
      </c>
      <c r="C25" s="2" t="s">
        <v>21</v>
      </c>
      <c r="D25" s="2">
        <v>390200</v>
      </c>
      <c r="E25" s="2">
        <v>384400</v>
      </c>
      <c r="F25" s="2">
        <v>40955</v>
      </c>
      <c r="G25" s="2">
        <v>17660</v>
      </c>
      <c r="H25" s="2">
        <v>532445.4</v>
      </c>
      <c r="I25" s="2">
        <v>81681.8</v>
      </c>
      <c r="J25" s="2">
        <v>47196</v>
      </c>
      <c r="K25" s="2">
        <v>31490.9</v>
      </c>
      <c r="L25" s="4">
        <v>23800</v>
      </c>
      <c r="M25" s="4">
        <v>34690.9</v>
      </c>
      <c r="N25" s="4">
        <f t="shared" si="1"/>
        <v>662649</v>
      </c>
      <c r="O25" s="4">
        <f t="shared" si="2"/>
        <v>733645</v>
      </c>
      <c r="P25" s="4">
        <f t="shared" si="3"/>
        <v>403504.75000000006</v>
      </c>
      <c r="Q25" s="40">
        <f t="shared" si="4"/>
        <v>73.901515151515156</v>
      </c>
      <c r="R25" s="31">
        <f t="shared" si="4"/>
        <v>72.803030303030297</v>
      </c>
      <c r="S25" s="40">
        <f t="shared" si="5"/>
        <v>7.7566287878787872</v>
      </c>
      <c r="T25" s="31">
        <f t="shared" si="5"/>
        <v>3.3446969696969697</v>
      </c>
    </row>
    <row r="26" spans="1:20" x14ac:dyDescent="0.25">
      <c r="A26" s="7">
        <v>24</v>
      </c>
      <c r="B26" s="5">
        <v>46046</v>
      </c>
      <c r="C26" s="2" t="s">
        <v>21</v>
      </c>
      <c r="D26" s="2">
        <v>377000</v>
      </c>
      <c r="E26" s="2">
        <v>367100</v>
      </c>
      <c r="F26" s="2">
        <v>21960</v>
      </c>
      <c r="G26" s="2">
        <v>38085</v>
      </c>
      <c r="H26" s="2">
        <v>538794</v>
      </c>
      <c r="I26" s="2">
        <v>84998</v>
      </c>
      <c r="J26" s="2">
        <v>48735</v>
      </c>
      <c r="K26" s="2">
        <v>29949</v>
      </c>
      <c r="L26" s="4">
        <v>24000</v>
      </c>
      <c r="M26" s="4">
        <v>33749</v>
      </c>
      <c r="N26" s="4">
        <f t="shared" si="1"/>
        <v>649405</v>
      </c>
      <c r="O26" s="4">
        <f t="shared" si="2"/>
        <v>722140</v>
      </c>
      <c r="P26" s="4">
        <f t="shared" si="3"/>
        <v>397177.00000000006</v>
      </c>
      <c r="Q26" s="40">
        <f t="shared" si="4"/>
        <v>71.401515151515156</v>
      </c>
      <c r="R26" s="31">
        <f t="shared" si="4"/>
        <v>69.526515151515156</v>
      </c>
      <c r="S26" s="40">
        <f t="shared" si="5"/>
        <v>4.1590909090909092</v>
      </c>
      <c r="T26" s="31">
        <f t="shared" si="5"/>
        <v>7.2130681818181817</v>
      </c>
    </row>
    <row r="27" spans="1:20" x14ac:dyDescent="0.25">
      <c r="A27" s="7">
        <v>25</v>
      </c>
      <c r="B27" s="5">
        <v>46047</v>
      </c>
      <c r="C27" s="2" t="s">
        <v>21</v>
      </c>
      <c r="D27" s="2">
        <v>406300</v>
      </c>
      <c r="E27" s="2">
        <v>368300</v>
      </c>
      <c r="F27" s="2">
        <v>16605</v>
      </c>
      <c r="G27" s="2">
        <v>33290</v>
      </c>
      <c r="H27" s="2">
        <v>579909.6</v>
      </c>
      <c r="I27" s="2">
        <v>76303.199999999997</v>
      </c>
      <c r="J27" s="2">
        <v>48769</v>
      </c>
      <c r="K27" s="2">
        <v>29551.599999999999</v>
      </c>
      <c r="L27" s="4">
        <v>23900</v>
      </c>
      <c r="M27" s="4">
        <v>32851.599999999999</v>
      </c>
      <c r="N27" s="4">
        <f t="shared" si="1"/>
        <v>685326</v>
      </c>
      <c r="O27" s="4">
        <f t="shared" si="2"/>
        <v>757995</v>
      </c>
      <c r="P27" s="4">
        <f t="shared" si="3"/>
        <v>416897.25000000006</v>
      </c>
      <c r="Q27" s="40">
        <f t="shared" si="4"/>
        <v>76.950757575757578</v>
      </c>
      <c r="R27" s="31">
        <f t="shared" si="4"/>
        <v>69.753787878787875</v>
      </c>
      <c r="S27" s="40">
        <f t="shared" si="5"/>
        <v>3.1448863636363638</v>
      </c>
      <c r="T27" s="31">
        <f t="shared" si="5"/>
        <v>6.3049242424242422</v>
      </c>
    </row>
    <row r="28" spans="1:20" x14ac:dyDescent="0.25">
      <c r="A28" s="7">
        <v>26</v>
      </c>
      <c r="B28" s="5">
        <v>46048</v>
      </c>
      <c r="C28" s="2" t="s">
        <v>21</v>
      </c>
      <c r="D28" s="2">
        <v>412000</v>
      </c>
      <c r="E28" s="2">
        <v>379800</v>
      </c>
      <c r="F28" s="2">
        <v>9885</v>
      </c>
      <c r="G28" s="2">
        <v>49830</v>
      </c>
      <c r="H28" s="2">
        <v>600303.6</v>
      </c>
      <c r="I28" s="2">
        <v>95301.2</v>
      </c>
      <c r="J28" s="2">
        <v>49339</v>
      </c>
      <c r="K28" s="2">
        <v>28900.6</v>
      </c>
      <c r="L28" s="4">
        <v>24400</v>
      </c>
      <c r="M28" s="4">
        <v>33500.6</v>
      </c>
      <c r="N28" s="4">
        <f t="shared" si="1"/>
        <v>708176</v>
      </c>
      <c r="O28" s="4">
        <f t="shared" si="2"/>
        <v>781915</v>
      </c>
      <c r="P28" s="4">
        <f t="shared" si="3"/>
        <v>430053.25000000006</v>
      </c>
      <c r="Q28" s="40">
        <f t="shared" si="4"/>
        <v>78.030303030303031</v>
      </c>
      <c r="R28" s="31">
        <f t="shared" si="4"/>
        <v>71.931818181818187</v>
      </c>
      <c r="S28" s="40">
        <f t="shared" si="5"/>
        <v>1.8721590909090911</v>
      </c>
      <c r="T28" s="31">
        <f t="shared" si="5"/>
        <v>9.4375</v>
      </c>
    </row>
    <row r="29" spans="1:20" x14ac:dyDescent="0.25">
      <c r="A29" s="7">
        <v>27</v>
      </c>
      <c r="B29" s="5">
        <v>46049</v>
      </c>
      <c r="C29" s="2" t="s">
        <v>21</v>
      </c>
      <c r="D29" s="2">
        <v>393600</v>
      </c>
      <c r="E29" s="2">
        <v>398200</v>
      </c>
      <c r="F29" s="2">
        <v>15105</v>
      </c>
      <c r="G29" s="2">
        <v>36620</v>
      </c>
      <c r="H29" s="2">
        <v>604311</v>
      </c>
      <c r="I29" s="2">
        <v>71937</v>
      </c>
      <c r="J29" s="2">
        <v>47230</v>
      </c>
      <c r="K29" s="2">
        <v>29468.5</v>
      </c>
      <c r="L29" s="4">
        <v>25400</v>
      </c>
      <c r="M29" s="4">
        <v>34968.5</v>
      </c>
      <c r="N29" s="4">
        <f t="shared" si="1"/>
        <v>704065</v>
      </c>
      <c r="O29" s="4">
        <f t="shared" si="2"/>
        <v>776695</v>
      </c>
      <c r="P29" s="4">
        <f t="shared" si="3"/>
        <v>427182.25000000006</v>
      </c>
      <c r="Q29" s="40">
        <f t="shared" si="4"/>
        <v>74.545454545454547</v>
      </c>
      <c r="R29" s="31">
        <f t="shared" si="4"/>
        <v>75.416666666666671</v>
      </c>
      <c r="S29" s="40">
        <f t="shared" si="5"/>
        <v>2.8607954545454546</v>
      </c>
      <c r="T29" s="31">
        <f t="shared" si="5"/>
        <v>6.9356060606060606</v>
      </c>
    </row>
    <row r="30" spans="1:20" x14ac:dyDescent="0.25">
      <c r="A30" s="7">
        <v>28</v>
      </c>
      <c r="B30" s="5">
        <v>46050</v>
      </c>
      <c r="C30" s="33" t="s">
        <v>21</v>
      </c>
      <c r="D30" s="33">
        <v>402600</v>
      </c>
      <c r="E30" s="33">
        <v>381600</v>
      </c>
      <c r="F30" s="33">
        <v>14395</v>
      </c>
      <c r="G30" s="33">
        <v>37135</v>
      </c>
      <c r="H30" s="33">
        <v>581645.80000000005</v>
      </c>
      <c r="I30" s="33">
        <v>87148.6</v>
      </c>
      <c r="J30" s="33">
        <v>49797</v>
      </c>
      <c r="K30" s="33">
        <v>29624.3</v>
      </c>
      <c r="L30" s="35">
        <v>24700</v>
      </c>
      <c r="M30" s="36">
        <v>34024.300000000003</v>
      </c>
      <c r="N30" s="4">
        <f t="shared" si="1"/>
        <v>695308</v>
      </c>
      <c r="O30" s="4">
        <f t="shared" si="2"/>
        <v>769805</v>
      </c>
      <c r="P30" s="4">
        <f t="shared" si="3"/>
        <v>423392.75000000006</v>
      </c>
      <c r="Q30" s="41">
        <f t="shared" si="4"/>
        <v>76.25</v>
      </c>
      <c r="R30" s="38">
        <f t="shared" si="4"/>
        <v>72.27272727272728</v>
      </c>
      <c r="S30" s="41">
        <f t="shared" si="5"/>
        <v>2.7263257575757578</v>
      </c>
      <c r="T30" s="38">
        <f t="shared" si="5"/>
        <v>7.0331439393939394</v>
      </c>
    </row>
    <row r="31" spans="1:20" x14ac:dyDescent="0.25">
      <c r="A31" s="7">
        <v>29</v>
      </c>
      <c r="B31" s="5">
        <v>46051</v>
      </c>
      <c r="C31" s="2" t="s">
        <v>21</v>
      </c>
      <c r="D31" s="2">
        <v>426400</v>
      </c>
      <c r="E31" s="2">
        <v>356300</v>
      </c>
      <c r="F31" s="2">
        <v>14885</v>
      </c>
      <c r="G31" s="2">
        <v>45110</v>
      </c>
      <c r="H31" s="2">
        <v>590520.80000000005</v>
      </c>
      <c r="I31" s="2">
        <v>83373.600000000006</v>
      </c>
      <c r="J31" s="2">
        <v>50957</v>
      </c>
      <c r="K31" s="2">
        <v>31436.799999999999</v>
      </c>
      <c r="L31" s="4">
        <v>23800</v>
      </c>
      <c r="M31" s="4">
        <v>32836.800000000003</v>
      </c>
      <c r="N31" s="4">
        <f t="shared" si="1"/>
        <v>693058</v>
      </c>
      <c r="O31" s="4">
        <f t="shared" si="2"/>
        <v>767815</v>
      </c>
      <c r="P31" s="4">
        <f t="shared" si="3"/>
        <v>422298.25000000006</v>
      </c>
      <c r="Q31" s="40">
        <f>(D31/528000)*100</f>
        <v>80.757575757575765</v>
      </c>
      <c r="R31" s="31">
        <f t="shared" ref="R31:R33" si="6">(E31/528000)*100</f>
        <v>67.481060606060609</v>
      </c>
      <c r="S31" s="40">
        <f>(F31/528000)*100</f>
        <v>2.8191287878787876</v>
      </c>
      <c r="T31" s="31">
        <f t="shared" ref="T31:T33" si="7">(G31/528000)*100</f>
        <v>8.5435606060606055</v>
      </c>
    </row>
    <row r="32" spans="1:20" x14ac:dyDescent="0.25">
      <c r="A32" s="7">
        <v>30</v>
      </c>
      <c r="B32" s="5">
        <v>46052</v>
      </c>
      <c r="C32" s="2" t="s">
        <v>21</v>
      </c>
      <c r="D32" s="2">
        <v>405700</v>
      </c>
      <c r="E32" s="2">
        <v>350700</v>
      </c>
      <c r="F32" s="2">
        <v>10510</v>
      </c>
      <c r="G32" s="2">
        <v>64445</v>
      </c>
      <c r="H32" s="2">
        <v>566022.80000000005</v>
      </c>
      <c r="I32" s="2">
        <v>106807.6</v>
      </c>
      <c r="J32" s="2">
        <v>49697</v>
      </c>
      <c r="K32" s="2">
        <v>30753.8</v>
      </c>
      <c r="L32" s="4">
        <v>24500</v>
      </c>
      <c r="M32" s="4">
        <v>32553.8</v>
      </c>
      <c r="N32" s="4">
        <f t="shared" si="1"/>
        <v>671693</v>
      </c>
      <c r="O32" s="4">
        <f t="shared" si="2"/>
        <v>745890</v>
      </c>
      <c r="P32" s="4">
        <f t="shared" si="3"/>
        <v>410239.50000000006</v>
      </c>
      <c r="Q32" s="40">
        <f>(D32/528000)*100</f>
        <v>76.837121212121204</v>
      </c>
      <c r="R32" s="31">
        <f t="shared" si="6"/>
        <v>66.420454545454547</v>
      </c>
      <c r="S32" s="40">
        <f>(F32/528000)*100</f>
        <v>1.990530303030303</v>
      </c>
      <c r="T32" s="31">
        <f t="shared" si="7"/>
        <v>12.205492424242424</v>
      </c>
    </row>
    <row r="33" spans="1:20" x14ac:dyDescent="0.25">
      <c r="A33" s="7">
        <v>31</v>
      </c>
      <c r="B33" s="5">
        <v>46053</v>
      </c>
      <c r="C33" s="2" t="s">
        <v>21</v>
      </c>
      <c r="D33" s="2">
        <v>405900</v>
      </c>
      <c r="E33" s="2">
        <v>370800</v>
      </c>
      <c r="F33" s="2">
        <v>7910</v>
      </c>
      <c r="G33" s="2">
        <v>70775</v>
      </c>
      <c r="H33" s="2">
        <v>590992.19999999995</v>
      </c>
      <c r="I33" s="2">
        <v>111797.4</v>
      </c>
      <c r="J33" s="2">
        <v>48578</v>
      </c>
      <c r="K33" s="2">
        <v>30648.7</v>
      </c>
      <c r="L33" s="4">
        <v>24300</v>
      </c>
      <c r="M33" s="4">
        <v>33248.699999999997</v>
      </c>
      <c r="N33" s="4">
        <f t="shared" si="1"/>
        <v>695912</v>
      </c>
      <c r="O33" s="4">
        <f t="shared" si="2"/>
        <v>768790</v>
      </c>
      <c r="P33" s="4">
        <f t="shared" si="3"/>
        <v>422834.50000000006</v>
      </c>
      <c r="Q33" s="40">
        <f>(D33/528000)*100</f>
        <v>76.875</v>
      </c>
      <c r="R33" s="31">
        <f t="shared" si="6"/>
        <v>70.227272727272734</v>
      </c>
      <c r="S33" s="40">
        <f>(F33/528000)*100</f>
        <v>1.4981060606060606</v>
      </c>
      <c r="T33" s="31">
        <f t="shared" si="7"/>
        <v>13.404356060606059</v>
      </c>
    </row>
    <row r="34" spans="1:20" x14ac:dyDescent="0.25">
      <c r="C34" s="8" t="s">
        <v>15</v>
      </c>
      <c r="D34" s="8">
        <f t="shared" ref="D34:M34" si="8">SUM(D3:D33)</f>
        <v>12602600</v>
      </c>
      <c r="E34" s="8">
        <f t="shared" si="8"/>
        <v>11371800</v>
      </c>
      <c r="F34" s="8">
        <f>SUM(F3:F33)</f>
        <v>837170</v>
      </c>
      <c r="G34" s="8">
        <f t="shared" si="8"/>
        <v>1374435</v>
      </c>
      <c r="H34" s="8">
        <f t="shared" si="8"/>
        <v>17345236.800000004</v>
      </c>
      <c r="I34" s="23">
        <f t="shared" si="8"/>
        <v>2909845.6000000006</v>
      </c>
      <c r="J34" s="8">
        <f t="shared" si="8"/>
        <v>1474937</v>
      </c>
      <c r="K34" s="8">
        <f t="shared" si="8"/>
        <v>994322.80000000016</v>
      </c>
      <c r="L34" s="8">
        <f t="shared" si="8"/>
        <v>747600</v>
      </c>
      <c r="M34" s="8">
        <f t="shared" si="8"/>
        <v>1039722.8000000002</v>
      </c>
      <c r="N34" s="54">
        <f t="shared" si="1"/>
        <v>20914693</v>
      </c>
      <c r="O34" s="54">
        <f t="shared" si="2"/>
        <v>23137230</v>
      </c>
      <c r="P34" s="54">
        <f t="shared" si="3"/>
        <v>12725476.500000002</v>
      </c>
      <c r="Q34" s="47">
        <f>SUM(Q3:Q33)/30</f>
        <v>79.561868686868678</v>
      </c>
      <c r="R34" s="13">
        <f>SUM(R3:R33)/30</f>
        <v>71.791666666666671</v>
      </c>
      <c r="S34" s="47">
        <f>SUM(S3:S33)/30</f>
        <v>5.2851641414141426</v>
      </c>
      <c r="T34" s="13">
        <f>SUM(T3:T33)/30</f>
        <v>8.676988636363637</v>
      </c>
    </row>
    <row r="35" spans="1:20" x14ac:dyDescent="0.25">
      <c r="C35" s="8" t="s">
        <v>16</v>
      </c>
      <c r="D35" s="2">
        <v>12602600</v>
      </c>
      <c r="E35" s="2"/>
      <c r="F35" s="2">
        <v>848400</v>
      </c>
      <c r="G35" s="2">
        <v>1377420</v>
      </c>
      <c r="H35" s="2"/>
      <c r="I35" s="2"/>
      <c r="J35" s="2"/>
      <c r="K35" s="2"/>
      <c r="L35" s="2"/>
      <c r="M35" s="2"/>
      <c r="N35" s="2"/>
      <c r="O35" s="2"/>
      <c r="P35" s="2"/>
      <c r="Q35" s="52"/>
      <c r="R35" s="2"/>
      <c r="S35" s="52"/>
      <c r="T35" s="2"/>
    </row>
    <row r="36" spans="1:20" x14ac:dyDescent="0.25">
      <c r="C36" s="8" t="s">
        <v>17</v>
      </c>
      <c r="D36" s="2">
        <v>0</v>
      </c>
      <c r="E36" s="2"/>
      <c r="F36" s="2"/>
      <c r="G36" s="2"/>
      <c r="H36" s="63">
        <v>-8245</v>
      </c>
      <c r="I36" s="64"/>
      <c r="J36" s="64"/>
      <c r="K36" s="64"/>
      <c r="L36" s="64"/>
      <c r="M36" s="65"/>
      <c r="N36" s="2"/>
      <c r="O36" s="2"/>
      <c r="P36" s="2"/>
      <c r="Q36" s="2"/>
      <c r="R36" s="4"/>
      <c r="S36" s="2"/>
      <c r="T36" s="4"/>
    </row>
    <row r="37" spans="1:20" x14ac:dyDescent="0.25">
      <c r="C37" s="8" t="s">
        <v>18</v>
      </c>
      <c r="D37" s="2"/>
      <c r="E37" s="2"/>
      <c r="F37" s="2"/>
      <c r="G37" s="2"/>
      <c r="H37" s="2">
        <v>17341114.5</v>
      </c>
      <c r="I37" s="2">
        <v>2908196.6</v>
      </c>
      <c r="J37" s="2"/>
      <c r="K37" s="2">
        <v>993086.05</v>
      </c>
      <c r="L37" s="2"/>
      <c r="M37" s="2">
        <v>1038486.25</v>
      </c>
      <c r="N37" s="2"/>
      <c r="O37" s="2"/>
      <c r="P37" s="2"/>
      <c r="Q37" s="2"/>
      <c r="R37" s="2"/>
      <c r="S37" s="2"/>
      <c r="T37" s="2"/>
    </row>
    <row r="38" spans="1:20" x14ac:dyDescent="0.25">
      <c r="C38" s="8" t="s">
        <v>19</v>
      </c>
      <c r="D38" s="2">
        <v>736248.7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 x14ac:dyDescent="0.25">
      <c r="C39" s="8" t="s">
        <v>20</v>
      </c>
      <c r="D39" s="2">
        <v>748851.3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x14ac:dyDescent="0.25">
      <c r="C40" s="1"/>
      <c r="D40" s="1">
        <f>D39-D38</f>
        <v>12602.600000000093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2" spans="1:20" x14ac:dyDescent="0.25">
      <c r="E42">
        <f>D34+E34+G35</f>
        <v>25351820</v>
      </c>
      <c r="F42" s="48">
        <f>F35+H34+I34+J34+K34+L34+M34</f>
        <v>25360065.000000007</v>
      </c>
      <c r="G42" s="48">
        <f>E42-F42</f>
        <v>-8245.0000000074506</v>
      </c>
      <c r="K42" s="51"/>
    </row>
    <row r="43" spans="1:20" x14ac:dyDescent="0.25">
      <c r="G43" s="48"/>
      <c r="H43" s="48"/>
      <c r="I43" s="48"/>
      <c r="J43" s="48"/>
      <c r="K43" s="48"/>
    </row>
    <row r="44" spans="1:20" x14ac:dyDescent="0.25">
      <c r="J44" s="48"/>
    </row>
    <row r="45" spans="1:20" x14ac:dyDescent="0.25">
      <c r="H45" s="48"/>
    </row>
  </sheetData>
  <mergeCells count="2">
    <mergeCell ref="H36:M36"/>
    <mergeCell ref="A1:T1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45"/>
  <sheetViews>
    <sheetView topLeftCell="A13" zoomScaleNormal="100" workbookViewId="0">
      <selection activeCell="A2" sqref="A2:B33"/>
    </sheetView>
  </sheetViews>
  <sheetFormatPr defaultRowHeight="15" x14ac:dyDescent="0.25"/>
  <cols>
    <col min="2" max="2" width="11.140625" customWidth="1"/>
    <col min="3" max="3" width="18.85546875" customWidth="1"/>
    <col min="4" max="4" width="11.140625" customWidth="1"/>
    <col min="7" max="7" width="11.5703125" bestFit="1" customWidth="1"/>
    <col min="8" max="8" width="13.85546875" customWidth="1"/>
    <col min="9" max="9" width="13.5703125" customWidth="1"/>
    <col min="10" max="10" width="10.42578125" customWidth="1"/>
    <col min="12" max="12" width="11.28515625" customWidth="1"/>
    <col min="13" max="13" width="11" customWidth="1"/>
    <col min="15" max="15" width="14" customWidth="1"/>
    <col min="16" max="16" width="11.140625" customWidth="1"/>
  </cols>
  <sheetData>
    <row r="1" spans="1:18" ht="40.5" customHeight="1" thickBot="1" x14ac:dyDescent="0.3">
      <c r="A1" s="66" t="s">
        <v>132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59"/>
    </row>
    <row r="2" spans="1:18" ht="61.5" customHeight="1" thickBot="1" x14ac:dyDescent="0.3">
      <c r="A2" s="9" t="s">
        <v>0</v>
      </c>
      <c r="B2" s="10" t="s">
        <v>1</v>
      </c>
      <c r="C2" s="10" t="s">
        <v>2</v>
      </c>
      <c r="D2" s="21" t="s">
        <v>56</v>
      </c>
      <c r="E2" s="21" t="s">
        <v>57</v>
      </c>
      <c r="F2" s="21" t="s">
        <v>4</v>
      </c>
      <c r="G2" s="21" t="s">
        <v>5</v>
      </c>
      <c r="H2" s="21" t="s">
        <v>6</v>
      </c>
      <c r="I2" s="21" t="s">
        <v>7</v>
      </c>
      <c r="J2" s="21" t="s">
        <v>64</v>
      </c>
      <c r="K2" s="21" t="s">
        <v>66</v>
      </c>
      <c r="L2" s="21" t="s">
        <v>100</v>
      </c>
      <c r="M2" s="21" t="s">
        <v>67</v>
      </c>
      <c r="N2" s="21" t="s">
        <v>10</v>
      </c>
      <c r="O2" s="21" t="s">
        <v>11</v>
      </c>
      <c r="P2" s="10" t="s">
        <v>12</v>
      </c>
      <c r="Q2" s="45" t="s">
        <v>54</v>
      </c>
      <c r="R2" s="46" t="s">
        <v>55</v>
      </c>
    </row>
    <row r="3" spans="1:18" x14ac:dyDescent="0.25">
      <c r="A3" s="6">
        <v>1</v>
      </c>
      <c r="B3" s="5" t="s">
        <v>101</v>
      </c>
      <c r="C3" s="4" t="s">
        <v>21</v>
      </c>
      <c r="D3" s="4">
        <v>428200</v>
      </c>
      <c r="E3" s="4">
        <v>0</v>
      </c>
      <c r="F3" s="4">
        <v>0</v>
      </c>
      <c r="G3" s="4">
        <v>274755</v>
      </c>
      <c r="H3" s="4">
        <v>532185</v>
      </c>
      <c r="I3" s="4">
        <v>80395</v>
      </c>
      <c r="J3" s="4">
        <v>50980</v>
      </c>
      <c r="K3" s="4">
        <v>29647.8</v>
      </c>
      <c r="L3" s="4">
        <v>3900</v>
      </c>
      <c r="M3" s="4">
        <v>5847.2</v>
      </c>
      <c r="N3" s="4">
        <f>(D3+E3)-F3-J3-L3</f>
        <v>373320</v>
      </c>
      <c r="O3" s="4">
        <f>(D3+E3)-F3</f>
        <v>428200</v>
      </c>
      <c r="P3" s="4">
        <f>O3*0.55</f>
        <v>235510.00000000003</v>
      </c>
      <c r="Q3" s="40">
        <f>(D3/528000)*100</f>
        <v>81.098484848484858</v>
      </c>
      <c r="R3" s="31">
        <f>(E3/528000)*100</f>
        <v>0</v>
      </c>
    </row>
    <row r="4" spans="1:18" x14ac:dyDescent="0.25">
      <c r="A4" s="7">
        <v>2</v>
      </c>
      <c r="B4" s="5" t="s">
        <v>102</v>
      </c>
      <c r="C4" s="2" t="s">
        <v>21</v>
      </c>
      <c r="D4" s="2">
        <v>414800</v>
      </c>
      <c r="E4" s="2">
        <v>59400</v>
      </c>
      <c r="F4" s="2">
        <v>1070</v>
      </c>
      <c r="G4" s="2">
        <v>216810</v>
      </c>
      <c r="H4" s="2">
        <v>524931.6</v>
      </c>
      <c r="I4" s="2">
        <v>56177.2</v>
      </c>
      <c r="J4" s="2">
        <v>49154</v>
      </c>
      <c r="K4" s="2">
        <v>29888.6</v>
      </c>
      <c r="L4" s="4">
        <v>9900</v>
      </c>
      <c r="M4" s="4">
        <v>19888.599999999999</v>
      </c>
      <c r="N4" s="4">
        <f t="shared" ref="N4:N34" si="0">(D4+E4)-F4-J4-L4</f>
        <v>414076</v>
      </c>
      <c r="O4" s="4">
        <f t="shared" ref="O4:O34" si="1">(D4+E4)-F4</f>
        <v>473130</v>
      </c>
      <c r="P4" s="4">
        <f t="shared" ref="P4:P34" si="2">O4*0.55</f>
        <v>260221.50000000003</v>
      </c>
      <c r="Q4" s="40">
        <f>(D4/528000)*100</f>
        <v>78.560606060606062</v>
      </c>
      <c r="R4" s="31">
        <f>(E4/528000)*100</f>
        <v>11.25</v>
      </c>
    </row>
    <row r="5" spans="1:18" x14ac:dyDescent="0.25">
      <c r="A5" s="7">
        <v>3</v>
      </c>
      <c r="B5" s="5" t="s">
        <v>103</v>
      </c>
      <c r="C5" s="2" t="s">
        <v>21</v>
      </c>
      <c r="D5" s="2">
        <v>387200</v>
      </c>
      <c r="E5" s="2">
        <v>255900</v>
      </c>
      <c r="F5" s="2">
        <v>6525</v>
      </c>
      <c r="G5" s="2">
        <v>89515</v>
      </c>
      <c r="H5" s="2">
        <v>528862</v>
      </c>
      <c r="I5" s="2">
        <v>75254</v>
      </c>
      <c r="J5" s="2">
        <v>46320</v>
      </c>
      <c r="K5" s="2">
        <v>30627</v>
      </c>
      <c r="L5" s="4">
        <v>17200</v>
      </c>
      <c r="M5" s="4">
        <v>27827</v>
      </c>
      <c r="N5" s="4">
        <f t="shared" si="0"/>
        <v>573055</v>
      </c>
      <c r="O5" s="4">
        <f t="shared" si="1"/>
        <v>636575</v>
      </c>
      <c r="P5" s="4">
        <f t="shared" si="2"/>
        <v>350116.25</v>
      </c>
      <c r="Q5" s="40">
        <f t="shared" ref="Q5:R30" si="3">(D5/528000)*100</f>
        <v>73.333333333333329</v>
      </c>
      <c r="R5" s="31">
        <f t="shared" si="3"/>
        <v>48.465909090909093</v>
      </c>
    </row>
    <row r="6" spans="1:18" x14ac:dyDescent="0.25">
      <c r="A6" s="7">
        <v>4</v>
      </c>
      <c r="B6" s="5" t="s">
        <v>104</v>
      </c>
      <c r="C6" s="2" t="s">
        <v>21</v>
      </c>
      <c r="D6" s="2">
        <v>101000</v>
      </c>
      <c r="E6" s="2">
        <v>302100</v>
      </c>
      <c r="F6" s="2">
        <v>0</v>
      </c>
      <c r="G6" s="2">
        <v>291355</v>
      </c>
      <c r="H6" s="2">
        <v>519798.4</v>
      </c>
      <c r="I6" s="2">
        <v>73132.800000000003</v>
      </c>
      <c r="J6" s="2">
        <v>21091</v>
      </c>
      <c r="K6" s="2">
        <v>30016.400000000001</v>
      </c>
      <c r="L6" s="4">
        <v>22300</v>
      </c>
      <c r="M6" s="4">
        <v>28116.400000000001</v>
      </c>
      <c r="N6" s="4">
        <f t="shared" si="0"/>
        <v>359709</v>
      </c>
      <c r="O6" s="4">
        <f t="shared" si="1"/>
        <v>403100</v>
      </c>
      <c r="P6" s="4">
        <f t="shared" si="2"/>
        <v>221705.00000000003</v>
      </c>
      <c r="Q6" s="40">
        <f t="shared" si="3"/>
        <v>19.128787878787879</v>
      </c>
      <c r="R6" s="31">
        <f t="shared" si="3"/>
        <v>57.215909090909086</v>
      </c>
    </row>
    <row r="7" spans="1:18" x14ac:dyDescent="0.25">
      <c r="A7" s="7">
        <v>5</v>
      </c>
      <c r="B7" s="5" t="s">
        <v>105</v>
      </c>
      <c r="C7" s="2" t="s">
        <v>21</v>
      </c>
      <c r="D7" s="2">
        <v>107300</v>
      </c>
      <c r="E7" s="2">
        <v>301700</v>
      </c>
      <c r="F7" s="2">
        <v>105</v>
      </c>
      <c r="G7" s="2">
        <v>280900</v>
      </c>
      <c r="H7" s="2">
        <v>507000.2</v>
      </c>
      <c r="I7" s="2">
        <v>75933.399999999994</v>
      </c>
      <c r="J7" s="2">
        <v>21728</v>
      </c>
      <c r="K7" s="2">
        <v>34416.699999999997</v>
      </c>
      <c r="L7" s="4">
        <v>22200</v>
      </c>
      <c r="M7" s="4">
        <v>28516.7</v>
      </c>
      <c r="N7" s="4">
        <f t="shared" si="0"/>
        <v>364967</v>
      </c>
      <c r="O7" s="4">
        <f t="shared" si="1"/>
        <v>408895</v>
      </c>
      <c r="P7" s="4">
        <f t="shared" si="2"/>
        <v>224892.25000000003</v>
      </c>
      <c r="Q7" s="40">
        <f t="shared" si="3"/>
        <v>20.321969696969695</v>
      </c>
      <c r="R7" s="31">
        <f t="shared" si="3"/>
        <v>57.140151515151516</v>
      </c>
    </row>
    <row r="8" spans="1:18" x14ac:dyDescent="0.25">
      <c r="A8" s="7">
        <v>6</v>
      </c>
      <c r="B8" s="5" t="s">
        <v>106</v>
      </c>
      <c r="C8" s="2" t="s">
        <v>21</v>
      </c>
      <c r="D8" s="2">
        <v>120900</v>
      </c>
      <c r="E8" s="2">
        <v>313500</v>
      </c>
      <c r="F8" s="2">
        <v>0</v>
      </c>
      <c r="G8" s="2">
        <v>283660</v>
      </c>
      <c r="H8" s="2">
        <v>524739.19999999995</v>
      </c>
      <c r="I8" s="2">
        <v>86246.399999999994</v>
      </c>
      <c r="J8" s="2">
        <v>20328</v>
      </c>
      <c r="K8" s="2">
        <v>34973.199999999997</v>
      </c>
      <c r="L8" s="4">
        <v>21600</v>
      </c>
      <c r="M8" s="4">
        <v>30173.200000000001</v>
      </c>
      <c r="N8" s="4">
        <f t="shared" si="0"/>
        <v>392472</v>
      </c>
      <c r="O8" s="4">
        <f t="shared" si="1"/>
        <v>434400</v>
      </c>
      <c r="P8" s="4">
        <f t="shared" si="2"/>
        <v>238920.00000000003</v>
      </c>
      <c r="Q8" s="40">
        <f t="shared" si="3"/>
        <v>22.897727272727273</v>
      </c>
      <c r="R8" s="31">
        <f t="shared" si="3"/>
        <v>59.375</v>
      </c>
    </row>
    <row r="9" spans="1:18" x14ac:dyDescent="0.25">
      <c r="A9" s="7">
        <v>7</v>
      </c>
      <c r="B9" s="5" t="s">
        <v>107</v>
      </c>
      <c r="C9" s="2" t="s">
        <v>21</v>
      </c>
      <c r="D9" s="2">
        <v>125500</v>
      </c>
      <c r="E9" s="2">
        <v>321800</v>
      </c>
      <c r="F9" s="2">
        <v>30</v>
      </c>
      <c r="G9" s="2">
        <v>274725</v>
      </c>
      <c r="H9" s="2">
        <v>546521.80000000005</v>
      </c>
      <c r="I9" s="2">
        <v>68540.600000000006</v>
      </c>
      <c r="J9" s="2">
        <v>19892</v>
      </c>
      <c r="K9" s="2">
        <v>33720.300000000003</v>
      </c>
      <c r="L9" s="4">
        <v>22600</v>
      </c>
      <c r="M9" s="4">
        <v>30720.3</v>
      </c>
      <c r="N9" s="4">
        <f t="shared" si="0"/>
        <v>404778</v>
      </c>
      <c r="O9" s="4">
        <f t="shared" si="1"/>
        <v>447270</v>
      </c>
      <c r="P9" s="4">
        <f t="shared" si="2"/>
        <v>245998.50000000003</v>
      </c>
      <c r="Q9" s="40">
        <f t="shared" si="3"/>
        <v>23.768939393939394</v>
      </c>
      <c r="R9" s="31">
        <f t="shared" si="3"/>
        <v>60.946969696969703</v>
      </c>
    </row>
    <row r="10" spans="1:18" x14ac:dyDescent="0.25">
      <c r="A10" s="7">
        <v>8</v>
      </c>
      <c r="B10" s="5" t="s">
        <v>108</v>
      </c>
      <c r="C10" s="2" t="s">
        <v>21</v>
      </c>
      <c r="D10" s="2">
        <v>219800</v>
      </c>
      <c r="E10" s="2">
        <v>331600</v>
      </c>
      <c r="F10" s="2">
        <v>8655</v>
      </c>
      <c r="G10" s="2">
        <v>174570</v>
      </c>
      <c r="H10" s="2">
        <v>522120</v>
      </c>
      <c r="I10" s="2">
        <v>79040</v>
      </c>
      <c r="J10" s="2">
        <v>29915</v>
      </c>
      <c r="K10" s="2">
        <v>32720</v>
      </c>
      <c r="L10" s="4">
        <v>23700</v>
      </c>
      <c r="M10" s="4">
        <v>29820</v>
      </c>
      <c r="N10" s="4">
        <f t="shared" si="0"/>
        <v>489130</v>
      </c>
      <c r="O10" s="4">
        <f t="shared" si="1"/>
        <v>542745</v>
      </c>
      <c r="P10" s="4">
        <f t="shared" si="2"/>
        <v>298509.75</v>
      </c>
      <c r="Q10" s="40">
        <f t="shared" si="3"/>
        <v>41.628787878787875</v>
      </c>
      <c r="R10" s="31">
        <f t="shared" si="3"/>
        <v>62.803030303030305</v>
      </c>
    </row>
    <row r="11" spans="1:18" x14ac:dyDescent="0.25">
      <c r="A11" s="7">
        <v>9</v>
      </c>
      <c r="B11" s="5" t="s">
        <v>109</v>
      </c>
      <c r="C11" s="2" t="s">
        <v>21</v>
      </c>
      <c r="D11" s="2">
        <v>416600</v>
      </c>
      <c r="E11" s="2">
        <v>336700</v>
      </c>
      <c r="F11" s="2">
        <v>17345</v>
      </c>
      <c r="G11" s="2">
        <v>35965</v>
      </c>
      <c r="H11" s="2">
        <v>555032.6</v>
      </c>
      <c r="I11" s="2">
        <v>80944.2</v>
      </c>
      <c r="J11" s="2">
        <v>47599</v>
      </c>
      <c r="K11" s="2">
        <v>33772.1</v>
      </c>
      <c r="L11" s="4">
        <v>24400</v>
      </c>
      <c r="M11" s="4">
        <v>30172.1</v>
      </c>
      <c r="N11" s="4">
        <f t="shared" si="0"/>
        <v>663956</v>
      </c>
      <c r="O11" s="4">
        <f t="shared" si="1"/>
        <v>735955</v>
      </c>
      <c r="P11" s="4">
        <f t="shared" si="2"/>
        <v>404775.25000000006</v>
      </c>
      <c r="Q11" s="40">
        <f t="shared" si="3"/>
        <v>78.901515151515156</v>
      </c>
      <c r="R11" s="31">
        <f t="shared" si="3"/>
        <v>63.768939393939391</v>
      </c>
    </row>
    <row r="12" spans="1:18" x14ac:dyDescent="0.25">
      <c r="A12" s="7">
        <v>10</v>
      </c>
      <c r="B12" s="5" t="s">
        <v>110</v>
      </c>
      <c r="C12" s="2" t="s">
        <v>21</v>
      </c>
      <c r="D12" s="2">
        <v>431400</v>
      </c>
      <c r="E12" s="2">
        <v>319600</v>
      </c>
      <c r="F12" s="2">
        <v>5880</v>
      </c>
      <c r="G12" s="2">
        <v>55905</v>
      </c>
      <c r="H12" s="2">
        <v>558532.4</v>
      </c>
      <c r="I12" s="2">
        <v>106310.8</v>
      </c>
      <c r="J12" s="2">
        <v>50271</v>
      </c>
      <c r="K12" s="2">
        <v>33055.4</v>
      </c>
      <c r="L12" s="4">
        <v>23200</v>
      </c>
      <c r="M12" s="4">
        <v>29655.4</v>
      </c>
      <c r="N12" s="4">
        <f t="shared" si="0"/>
        <v>671649</v>
      </c>
      <c r="O12" s="4">
        <f t="shared" si="1"/>
        <v>745120</v>
      </c>
      <c r="P12" s="4">
        <f t="shared" si="2"/>
        <v>409816.00000000006</v>
      </c>
      <c r="Q12" s="40">
        <f t="shared" si="3"/>
        <v>81.704545454545453</v>
      </c>
      <c r="R12" s="31">
        <f t="shared" si="3"/>
        <v>60.530303030303031</v>
      </c>
    </row>
    <row r="13" spans="1:18" x14ac:dyDescent="0.25">
      <c r="A13" s="7">
        <v>11</v>
      </c>
      <c r="B13" s="5" t="s">
        <v>111</v>
      </c>
      <c r="C13" s="2" t="s">
        <v>21</v>
      </c>
      <c r="D13" s="2">
        <v>418300</v>
      </c>
      <c r="E13" s="2">
        <v>325000</v>
      </c>
      <c r="F13" s="2">
        <v>3700</v>
      </c>
      <c r="G13" s="2">
        <v>61060</v>
      </c>
      <c r="H13" s="2">
        <v>550984</v>
      </c>
      <c r="I13" s="2">
        <v>112728</v>
      </c>
      <c r="J13" s="2">
        <v>51320</v>
      </c>
      <c r="K13" s="2">
        <v>33264</v>
      </c>
      <c r="L13" s="4">
        <v>22900</v>
      </c>
      <c r="M13" s="4">
        <v>29464</v>
      </c>
      <c r="N13" s="4">
        <f t="shared" si="0"/>
        <v>665380</v>
      </c>
      <c r="O13" s="4">
        <f t="shared" si="1"/>
        <v>739600</v>
      </c>
      <c r="P13" s="4">
        <f t="shared" si="2"/>
        <v>406780.00000000006</v>
      </c>
      <c r="Q13" s="40">
        <f t="shared" si="3"/>
        <v>79.223484848484844</v>
      </c>
      <c r="R13" s="31">
        <f t="shared" si="3"/>
        <v>61.553030303030297</v>
      </c>
    </row>
    <row r="14" spans="1:18" x14ac:dyDescent="0.25">
      <c r="A14" s="7">
        <v>12</v>
      </c>
      <c r="B14" s="5" t="s">
        <v>112</v>
      </c>
      <c r="C14" s="2" t="s">
        <v>21</v>
      </c>
      <c r="D14" s="2">
        <v>412400</v>
      </c>
      <c r="E14" s="2">
        <v>330900</v>
      </c>
      <c r="F14" s="2">
        <v>6075</v>
      </c>
      <c r="G14" s="2">
        <v>59515</v>
      </c>
      <c r="H14" s="2">
        <v>555310</v>
      </c>
      <c r="I14" s="2">
        <v>103470</v>
      </c>
      <c r="J14" s="2">
        <v>52190</v>
      </c>
      <c r="K14" s="2">
        <v>33585</v>
      </c>
      <c r="L14" s="4">
        <v>22300</v>
      </c>
      <c r="M14" s="4">
        <v>29885</v>
      </c>
      <c r="N14" s="4">
        <f t="shared" si="0"/>
        <v>662735</v>
      </c>
      <c r="O14" s="4">
        <f t="shared" si="1"/>
        <v>737225</v>
      </c>
      <c r="P14" s="4">
        <f t="shared" si="2"/>
        <v>405473.75000000006</v>
      </c>
      <c r="Q14" s="40">
        <f t="shared" si="3"/>
        <v>78.106060606060595</v>
      </c>
      <c r="R14" s="31">
        <f t="shared" si="3"/>
        <v>62.670454545454547</v>
      </c>
    </row>
    <row r="15" spans="1:18" x14ac:dyDescent="0.25">
      <c r="A15" s="7">
        <v>13</v>
      </c>
      <c r="B15" s="5" t="s">
        <v>113</v>
      </c>
      <c r="C15" s="2" t="s">
        <v>21</v>
      </c>
      <c r="D15" s="2">
        <v>408900</v>
      </c>
      <c r="E15" s="2">
        <v>351800</v>
      </c>
      <c r="F15" s="2">
        <v>7945</v>
      </c>
      <c r="G15" s="2">
        <v>55860</v>
      </c>
      <c r="H15" s="2">
        <v>562125.4</v>
      </c>
      <c r="I15" s="2">
        <v>108641.8</v>
      </c>
      <c r="J15" s="2">
        <v>51606</v>
      </c>
      <c r="K15" s="2">
        <v>32820.9</v>
      </c>
      <c r="L15" s="4">
        <v>22600</v>
      </c>
      <c r="M15" s="4">
        <v>30820.9</v>
      </c>
      <c r="N15" s="4">
        <f t="shared" si="0"/>
        <v>678549</v>
      </c>
      <c r="O15" s="4">
        <f t="shared" si="1"/>
        <v>752755</v>
      </c>
      <c r="P15" s="4">
        <f t="shared" si="2"/>
        <v>414015.25000000006</v>
      </c>
      <c r="Q15" s="40">
        <f t="shared" si="3"/>
        <v>77.443181818181813</v>
      </c>
      <c r="R15" s="31">
        <f t="shared" si="3"/>
        <v>66.628787878787875</v>
      </c>
    </row>
    <row r="16" spans="1:18" x14ac:dyDescent="0.25">
      <c r="A16" s="7">
        <v>14</v>
      </c>
      <c r="B16" s="5" t="s">
        <v>114</v>
      </c>
      <c r="C16" s="2" t="s">
        <v>21</v>
      </c>
      <c r="D16" s="2">
        <v>393500</v>
      </c>
      <c r="E16" s="2">
        <v>345800</v>
      </c>
      <c r="F16" s="2">
        <v>12015</v>
      </c>
      <c r="G16" s="2">
        <v>58335</v>
      </c>
      <c r="H16" s="2">
        <v>550317</v>
      </c>
      <c r="I16" s="2">
        <v>97139</v>
      </c>
      <c r="J16" s="2">
        <v>51025</v>
      </c>
      <c r="K16" s="2">
        <v>30919.5</v>
      </c>
      <c r="L16" s="4">
        <v>25100</v>
      </c>
      <c r="M16" s="4">
        <v>31119.5</v>
      </c>
      <c r="N16" s="4">
        <f t="shared" si="0"/>
        <v>651160</v>
      </c>
      <c r="O16" s="4">
        <f t="shared" si="1"/>
        <v>727285</v>
      </c>
      <c r="P16" s="4">
        <f t="shared" si="2"/>
        <v>400006.75000000006</v>
      </c>
      <c r="Q16" s="40">
        <f t="shared" si="3"/>
        <v>74.526515151515156</v>
      </c>
      <c r="R16" s="31">
        <f t="shared" si="3"/>
        <v>65.492424242424235</v>
      </c>
    </row>
    <row r="17" spans="1:18" x14ac:dyDescent="0.25">
      <c r="A17" s="7">
        <v>15</v>
      </c>
      <c r="B17" s="5" t="s">
        <v>115</v>
      </c>
      <c r="C17" s="2" t="s">
        <v>21</v>
      </c>
      <c r="D17" s="2">
        <v>386300</v>
      </c>
      <c r="E17" s="2">
        <v>366500</v>
      </c>
      <c r="F17" s="2">
        <v>12670</v>
      </c>
      <c r="G17" s="2">
        <v>50470</v>
      </c>
      <c r="H17" s="2">
        <v>555956</v>
      </c>
      <c r="I17" s="2">
        <v>98352</v>
      </c>
      <c r="J17" s="2">
        <v>49240</v>
      </c>
      <c r="K17" s="2">
        <v>29976</v>
      </c>
      <c r="L17" s="4">
        <v>24800</v>
      </c>
      <c r="M17" s="4">
        <v>32276</v>
      </c>
      <c r="N17" s="4">
        <f t="shared" si="0"/>
        <v>666090</v>
      </c>
      <c r="O17" s="4">
        <f t="shared" si="1"/>
        <v>740130</v>
      </c>
      <c r="P17" s="4">
        <f t="shared" si="2"/>
        <v>407071.50000000006</v>
      </c>
      <c r="Q17" s="40">
        <f t="shared" si="3"/>
        <v>73.162878787878796</v>
      </c>
      <c r="R17" s="31">
        <f t="shared" si="3"/>
        <v>69.412878787878782</v>
      </c>
    </row>
    <row r="18" spans="1:18" x14ac:dyDescent="0.25">
      <c r="A18" s="7">
        <v>16</v>
      </c>
      <c r="B18" s="5" t="s">
        <v>116</v>
      </c>
      <c r="C18" s="2" t="s">
        <v>21</v>
      </c>
      <c r="D18" s="2">
        <v>389500</v>
      </c>
      <c r="E18" s="2">
        <v>374300</v>
      </c>
      <c r="F18" s="2">
        <v>13695</v>
      </c>
      <c r="G18" s="2">
        <v>44225</v>
      </c>
      <c r="H18" s="2">
        <v>554831.6</v>
      </c>
      <c r="I18" s="2">
        <v>103477.2</v>
      </c>
      <c r="J18" s="2">
        <v>49244</v>
      </c>
      <c r="K18" s="2">
        <v>29788.6</v>
      </c>
      <c r="L18" s="4">
        <v>23700</v>
      </c>
      <c r="M18" s="4">
        <v>33288.6</v>
      </c>
      <c r="N18" s="4">
        <f t="shared" si="0"/>
        <v>677161</v>
      </c>
      <c r="O18" s="4">
        <f t="shared" si="1"/>
        <v>750105</v>
      </c>
      <c r="P18" s="4">
        <f t="shared" si="2"/>
        <v>412557.75000000006</v>
      </c>
      <c r="Q18" s="40">
        <f t="shared" si="3"/>
        <v>73.768939393939391</v>
      </c>
      <c r="R18" s="31">
        <f t="shared" si="3"/>
        <v>70.890151515151516</v>
      </c>
    </row>
    <row r="19" spans="1:18" x14ac:dyDescent="0.25">
      <c r="A19" s="7">
        <v>17</v>
      </c>
      <c r="B19" s="5" t="s">
        <v>117</v>
      </c>
      <c r="C19" s="2" t="s">
        <v>21</v>
      </c>
      <c r="D19" s="2">
        <v>371600</v>
      </c>
      <c r="E19" s="2">
        <v>377500</v>
      </c>
      <c r="F19" s="2">
        <v>22610</v>
      </c>
      <c r="G19" s="2">
        <v>33965</v>
      </c>
      <c r="H19" s="2">
        <v>527544.6</v>
      </c>
      <c r="I19" s="2">
        <v>98948.2</v>
      </c>
      <c r="J19" s="2">
        <v>47414</v>
      </c>
      <c r="K19" s="2">
        <v>29724.1</v>
      </c>
      <c r="L19" s="4">
        <v>23200</v>
      </c>
      <c r="M19" s="4">
        <v>33624.1</v>
      </c>
      <c r="N19" s="4">
        <f t="shared" si="0"/>
        <v>655876</v>
      </c>
      <c r="O19" s="4">
        <f t="shared" si="1"/>
        <v>726490</v>
      </c>
      <c r="P19" s="4">
        <f t="shared" si="2"/>
        <v>399569.50000000006</v>
      </c>
      <c r="Q19" s="40">
        <f t="shared" si="3"/>
        <v>70.378787878787875</v>
      </c>
      <c r="R19" s="31">
        <f t="shared" si="3"/>
        <v>71.496212121212125</v>
      </c>
    </row>
    <row r="20" spans="1:18" x14ac:dyDescent="0.25">
      <c r="A20" s="7">
        <v>18</v>
      </c>
      <c r="B20" s="5" t="s">
        <v>118</v>
      </c>
      <c r="C20" s="2" t="s">
        <v>21</v>
      </c>
      <c r="D20" s="2">
        <v>397900</v>
      </c>
      <c r="E20" s="2">
        <v>352500</v>
      </c>
      <c r="F20" s="2">
        <v>13200</v>
      </c>
      <c r="G20" s="2">
        <v>45515</v>
      </c>
      <c r="H20" s="2">
        <v>565514.19999999995</v>
      </c>
      <c r="I20" s="2">
        <v>78871.399999999994</v>
      </c>
      <c r="J20" s="2">
        <v>48358</v>
      </c>
      <c r="K20" s="2">
        <v>33335.699999999997</v>
      </c>
      <c r="L20" s="4">
        <v>22900</v>
      </c>
      <c r="M20" s="4">
        <v>33735.699999999997</v>
      </c>
      <c r="N20" s="4">
        <f t="shared" si="0"/>
        <v>665942</v>
      </c>
      <c r="O20" s="4">
        <f t="shared" si="1"/>
        <v>737200</v>
      </c>
      <c r="P20" s="4">
        <f t="shared" si="2"/>
        <v>405460.00000000006</v>
      </c>
      <c r="Q20" s="40">
        <f t="shared" si="3"/>
        <v>75.359848484848484</v>
      </c>
      <c r="R20" s="31">
        <f t="shared" si="3"/>
        <v>66.76136363636364</v>
      </c>
    </row>
    <row r="21" spans="1:18" x14ac:dyDescent="0.25">
      <c r="A21" s="7">
        <v>19</v>
      </c>
      <c r="B21" s="5" t="s">
        <v>119</v>
      </c>
      <c r="C21" s="2" t="s">
        <v>21</v>
      </c>
      <c r="D21" s="2">
        <v>404100</v>
      </c>
      <c r="E21" s="2">
        <v>340300</v>
      </c>
      <c r="F21" s="2">
        <v>10940</v>
      </c>
      <c r="G21" s="2">
        <v>53815</v>
      </c>
      <c r="H21" s="2">
        <v>564885.80000000005</v>
      </c>
      <c r="I21" s="2">
        <v>84828.6</v>
      </c>
      <c r="J21" s="2">
        <v>49132</v>
      </c>
      <c r="K21" s="2">
        <v>32764.3</v>
      </c>
      <c r="L21" s="4">
        <v>23300</v>
      </c>
      <c r="M21" s="4">
        <v>32364.3</v>
      </c>
      <c r="N21" s="4">
        <f t="shared" si="0"/>
        <v>661028</v>
      </c>
      <c r="O21" s="4">
        <f t="shared" si="1"/>
        <v>733460</v>
      </c>
      <c r="P21" s="4">
        <f t="shared" si="2"/>
        <v>403403.00000000006</v>
      </c>
      <c r="Q21" s="40">
        <f t="shared" si="3"/>
        <v>76.534090909090907</v>
      </c>
      <c r="R21" s="31">
        <f t="shared" si="3"/>
        <v>64.450757575757578</v>
      </c>
    </row>
    <row r="22" spans="1:18" x14ac:dyDescent="0.25">
      <c r="A22" s="7">
        <v>20</v>
      </c>
      <c r="B22" s="5" t="s">
        <v>120</v>
      </c>
      <c r="C22" s="2" t="s">
        <v>21</v>
      </c>
      <c r="D22" s="2">
        <v>406300</v>
      </c>
      <c r="E22" s="2">
        <v>353500</v>
      </c>
      <c r="F22" s="2">
        <v>12380</v>
      </c>
      <c r="G22" s="2">
        <v>44765</v>
      </c>
      <c r="H22" s="2">
        <v>577247.80000000005</v>
      </c>
      <c r="I22" s="2">
        <v>79482.600000000006</v>
      </c>
      <c r="J22" s="2">
        <v>48172</v>
      </c>
      <c r="K22" s="2">
        <v>31241.3</v>
      </c>
      <c r="L22" s="4">
        <v>22600</v>
      </c>
      <c r="M22" s="4">
        <v>33441.300000000003</v>
      </c>
      <c r="N22" s="4">
        <f t="shared" si="0"/>
        <v>676648</v>
      </c>
      <c r="O22" s="4">
        <f t="shared" si="1"/>
        <v>747420</v>
      </c>
      <c r="P22" s="4">
        <f t="shared" si="2"/>
        <v>411081.00000000006</v>
      </c>
      <c r="Q22" s="40">
        <f t="shared" si="3"/>
        <v>76.950757575757578</v>
      </c>
      <c r="R22" s="31">
        <f t="shared" si="3"/>
        <v>66.950757575757578</v>
      </c>
    </row>
    <row r="23" spans="1:18" x14ac:dyDescent="0.25">
      <c r="A23" s="7">
        <v>21</v>
      </c>
      <c r="B23" s="5" t="s">
        <v>121</v>
      </c>
      <c r="C23" s="2" t="s">
        <v>21</v>
      </c>
      <c r="D23" s="2">
        <v>395200</v>
      </c>
      <c r="E23" s="2">
        <v>360200</v>
      </c>
      <c r="F23" s="2">
        <v>12475</v>
      </c>
      <c r="G23" s="2">
        <v>69125</v>
      </c>
      <c r="H23" s="2">
        <v>593403.4</v>
      </c>
      <c r="I23" s="2">
        <v>85367.8</v>
      </c>
      <c r="J23" s="2">
        <v>47711</v>
      </c>
      <c r="K23" s="2">
        <v>29833.9</v>
      </c>
      <c r="L23" s="4">
        <v>22100</v>
      </c>
      <c r="M23" s="4">
        <v>33633.9</v>
      </c>
      <c r="N23" s="4">
        <f t="shared" si="0"/>
        <v>673114</v>
      </c>
      <c r="O23" s="4">
        <f t="shared" si="1"/>
        <v>742925</v>
      </c>
      <c r="P23" s="4">
        <f t="shared" si="2"/>
        <v>408608.75000000006</v>
      </c>
      <c r="Q23" s="40">
        <f t="shared" si="3"/>
        <v>74.848484848484858</v>
      </c>
      <c r="R23" s="31">
        <f t="shared" si="3"/>
        <v>68.219696969696969</v>
      </c>
    </row>
    <row r="24" spans="1:18" x14ac:dyDescent="0.25">
      <c r="A24" s="7">
        <v>22</v>
      </c>
      <c r="B24" s="5" t="s">
        <v>122</v>
      </c>
      <c r="C24" s="2" t="s">
        <v>21</v>
      </c>
      <c r="D24" s="2">
        <v>372900</v>
      </c>
      <c r="E24" s="2">
        <v>363800</v>
      </c>
      <c r="F24" s="2">
        <v>16500</v>
      </c>
      <c r="G24" s="2">
        <v>54505</v>
      </c>
      <c r="H24" s="2">
        <v>555436.4</v>
      </c>
      <c r="I24" s="2">
        <v>85378.8</v>
      </c>
      <c r="J24" s="2">
        <v>46611</v>
      </c>
      <c r="K24" s="2">
        <v>28489.4</v>
      </c>
      <c r="L24" s="4">
        <v>25000</v>
      </c>
      <c r="M24" s="4">
        <v>33789.4</v>
      </c>
      <c r="N24" s="4">
        <f t="shared" si="0"/>
        <v>648589</v>
      </c>
      <c r="O24" s="4">
        <f t="shared" si="1"/>
        <v>720200</v>
      </c>
      <c r="P24" s="4">
        <f t="shared" si="2"/>
        <v>396110.00000000006</v>
      </c>
      <c r="Q24" s="40">
        <f t="shared" si="3"/>
        <v>70.625</v>
      </c>
      <c r="R24" s="31">
        <f t="shared" si="3"/>
        <v>68.901515151515142</v>
      </c>
    </row>
    <row r="25" spans="1:18" x14ac:dyDescent="0.25">
      <c r="A25" s="7">
        <v>23</v>
      </c>
      <c r="B25" s="5" t="s">
        <v>123</v>
      </c>
      <c r="C25" s="2" t="s">
        <v>21</v>
      </c>
      <c r="D25" s="2">
        <v>397000</v>
      </c>
      <c r="E25" s="2">
        <v>339400</v>
      </c>
      <c r="F25" s="2">
        <v>8755</v>
      </c>
      <c r="G25" s="2">
        <v>50670</v>
      </c>
      <c r="H25" s="2">
        <v>554677</v>
      </c>
      <c r="I25" s="2">
        <v>88659</v>
      </c>
      <c r="J25" s="2">
        <v>48420</v>
      </c>
      <c r="K25" s="2">
        <v>29129.5</v>
      </c>
      <c r="L25" s="4">
        <v>25700</v>
      </c>
      <c r="M25" s="4">
        <v>31729.5</v>
      </c>
      <c r="N25" s="4">
        <f t="shared" si="0"/>
        <v>653525</v>
      </c>
      <c r="O25" s="4">
        <f t="shared" si="1"/>
        <v>727645</v>
      </c>
      <c r="P25" s="4">
        <f t="shared" si="2"/>
        <v>400204.75000000006</v>
      </c>
      <c r="Q25" s="40">
        <f t="shared" si="3"/>
        <v>75.189393939393938</v>
      </c>
      <c r="R25" s="31">
        <f t="shared" si="3"/>
        <v>64.280303030303031</v>
      </c>
    </row>
    <row r="26" spans="1:18" x14ac:dyDescent="0.25">
      <c r="A26" s="7">
        <v>24</v>
      </c>
      <c r="B26" s="5" t="s">
        <v>124</v>
      </c>
      <c r="C26" s="2" t="s">
        <v>21</v>
      </c>
      <c r="D26" s="2">
        <v>401500</v>
      </c>
      <c r="E26" s="2">
        <v>340700</v>
      </c>
      <c r="F26" s="2">
        <v>4980</v>
      </c>
      <c r="G26" s="2">
        <v>63010</v>
      </c>
      <c r="H26" s="2">
        <v>581372</v>
      </c>
      <c r="I26" s="2">
        <v>85124</v>
      </c>
      <c r="J26" s="2">
        <v>48910</v>
      </c>
      <c r="K26" s="2">
        <v>29312</v>
      </c>
      <c r="L26" s="4">
        <v>24100</v>
      </c>
      <c r="M26" s="4">
        <v>31412</v>
      </c>
      <c r="N26" s="4">
        <f t="shared" si="0"/>
        <v>664210</v>
      </c>
      <c r="O26" s="4">
        <f t="shared" si="1"/>
        <v>737220</v>
      </c>
      <c r="P26" s="4">
        <f t="shared" si="2"/>
        <v>405471.00000000006</v>
      </c>
      <c r="Q26" s="40">
        <f t="shared" si="3"/>
        <v>76.041666666666657</v>
      </c>
      <c r="R26" s="31">
        <f t="shared" si="3"/>
        <v>64.526515151515156</v>
      </c>
    </row>
    <row r="27" spans="1:18" x14ac:dyDescent="0.25">
      <c r="A27" s="7">
        <v>25</v>
      </c>
      <c r="B27" s="5" t="s">
        <v>125</v>
      </c>
      <c r="C27" s="2" t="s">
        <v>21</v>
      </c>
      <c r="D27" s="2">
        <v>388300</v>
      </c>
      <c r="E27" s="2">
        <v>339000</v>
      </c>
      <c r="F27" s="2">
        <v>6000</v>
      </c>
      <c r="G27" s="2">
        <v>54910</v>
      </c>
      <c r="H27" s="2">
        <v>570537</v>
      </c>
      <c r="I27" s="2">
        <v>72879</v>
      </c>
      <c r="J27" s="2">
        <v>47415</v>
      </c>
      <c r="K27" s="2">
        <v>29689.5</v>
      </c>
      <c r="L27" s="4">
        <v>23900</v>
      </c>
      <c r="M27" s="4">
        <v>31789.5</v>
      </c>
      <c r="N27" s="4">
        <f t="shared" si="0"/>
        <v>649985</v>
      </c>
      <c r="O27" s="4">
        <f t="shared" si="1"/>
        <v>721300</v>
      </c>
      <c r="P27" s="4">
        <f t="shared" si="2"/>
        <v>396715.00000000006</v>
      </c>
      <c r="Q27" s="40">
        <f t="shared" si="3"/>
        <v>73.541666666666671</v>
      </c>
      <c r="R27" s="31">
        <f t="shared" si="3"/>
        <v>64.204545454545453</v>
      </c>
    </row>
    <row r="28" spans="1:18" x14ac:dyDescent="0.25">
      <c r="A28" s="7">
        <v>26</v>
      </c>
      <c r="B28" s="5" t="s">
        <v>126</v>
      </c>
      <c r="C28" s="2" t="s">
        <v>21</v>
      </c>
      <c r="D28" s="2">
        <v>402300</v>
      </c>
      <c r="E28" s="2">
        <v>347700</v>
      </c>
      <c r="F28" s="2">
        <v>5835</v>
      </c>
      <c r="G28" s="2">
        <v>54980</v>
      </c>
      <c r="H28" s="2">
        <v>572946.6</v>
      </c>
      <c r="I28" s="2">
        <v>91282.2</v>
      </c>
      <c r="J28" s="2">
        <v>48234</v>
      </c>
      <c r="K28" s="2">
        <v>29991.1</v>
      </c>
      <c r="L28" s="4">
        <v>24200</v>
      </c>
      <c r="M28" s="4">
        <v>32491.1</v>
      </c>
      <c r="N28" s="4">
        <f t="shared" si="0"/>
        <v>671731</v>
      </c>
      <c r="O28" s="4">
        <f t="shared" si="1"/>
        <v>744165</v>
      </c>
      <c r="P28" s="4">
        <f t="shared" si="2"/>
        <v>409290.75000000006</v>
      </c>
      <c r="Q28" s="40">
        <f t="shared" si="3"/>
        <v>76.193181818181827</v>
      </c>
      <c r="R28" s="31">
        <f t="shared" si="3"/>
        <v>65.852272727272734</v>
      </c>
    </row>
    <row r="29" spans="1:18" x14ac:dyDescent="0.25">
      <c r="A29" s="7">
        <v>27</v>
      </c>
      <c r="B29" s="5" t="s">
        <v>127</v>
      </c>
      <c r="C29" s="2" t="s">
        <v>21</v>
      </c>
      <c r="D29" s="2">
        <v>404300</v>
      </c>
      <c r="E29" s="2">
        <v>354700</v>
      </c>
      <c r="F29" s="2">
        <v>16035</v>
      </c>
      <c r="G29" s="2">
        <v>44310</v>
      </c>
      <c r="H29" s="2">
        <v>558356.19999999995</v>
      </c>
      <c r="I29" s="2">
        <v>90885.4</v>
      </c>
      <c r="J29" s="2">
        <v>47748</v>
      </c>
      <c r="K29" s="2">
        <v>33742.699999999997</v>
      </c>
      <c r="L29" s="4">
        <v>24400</v>
      </c>
      <c r="M29" s="4">
        <v>32142.7</v>
      </c>
      <c r="N29" s="4">
        <f t="shared" si="0"/>
        <v>670817</v>
      </c>
      <c r="O29" s="4">
        <f t="shared" si="1"/>
        <v>742965</v>
      </c>
      <c r="P29" s="4">
        <f t="shared" si="2"/>
        <v>408630.75000000006</v>
      </c>
      <c r="Q29" s="40">
        <f t="shared" si="3"/>
        <v>76.571969696969703</v>
      </c>
      <c r="R29" s="31">
        <f t="shared" si="3"/>
        <v>67.178030303030297</v>
      </c>
    </row>
    <row r="30" spans="1:18" x14ac:dyDescent="0.25">
      <c r="A30" s="7">
        <v>28</v>
      </c>
      <c r="B30" s="34" t="s">
        <v>128</v>
      </c>
      <c r="C30" s="33" t="s">
        <v>21</v>
      </c>
      <c r="D30" s="33">
        <v>420300</v>
      </c>
      <c r="E30" s="33">
        <v>347600</v>
      </c>
      <c r="F30" s="33">
        <v>8955</v>
      </c>
      <c r="G30" s="33">
        <v>50165</v>
      </c>
      <c r="H30" s="33">
        <v>584282</v>
      </c>
      <c r="I30" s="33">
        <v>87994</v>
      </c>
      <c r="J30" s="33">
        <v>48740</v>
      </c>
      <c r="K30" s="33">
        <v>33497</v>
      </c>
      <c r="L30" s="35">
        <v>23300</v>
      </c>
      <c r="M30" s="36">
        <v>31297</v>
      </c>
      <c r="N30" s="4">
        <f t="shared" si="0"/>
        <v>686905</v>
      </c>
      <c r="O30" s="4">
        <f t="shared" si="1"/>
        <v>758945</v>
      </c>
      <c r="P30" s="4">
        <f t="shared" si="2"/>
        <v>417419.75000000006</v>
      </c>
      <c r="Q30" s="41">
        <f t="shared" si="3"/>
        <v>79.602272727272734</v>
      </c>
      <c r="R30" s="38">
        <f t="shared" si="3"/>
        <v>65.833333333333329</v>
      </c>
    </row>
    <row r="31" spans="1:18" x14ac:dyDescent="0.25">
      <c r="A31" s="7">
        <v>29</v>
      </c>
      <c r="B31" s="5" t="s">
        <v>129</v>
      </c>
      <c r="C31" s="2" t="s">
        <v>21</v>
      </c>
      <c r="D31" s="2">
        <v>423400</v>
      </c>
      <c r="E31" s="2">
        <v>333300</v>
      </c>
      <c r="F31" s="2">
        <v>10415</v>
      </c>
      <c r="G31" s="2">
        <v>46995</v>
      </c>
      <c r="H31" s="2">
        <v>571956.6</v>
      </c>
      <c r="I31" s="2">
        <v>83952.2</v>
      </c>
      <c r="J31" s="2">
        <v>49419</v>
      </c>
      <c r="K31" s="2">
        <v>33626.1</v>
      </c>
      <c r="L31" s="4">
        <v>23100</v>
      </c>
      <c r="M31" s="4">
        <v>31226.1</v>
      </c>
      <c r="N31" s="4">
        <f t="shared" si="0"/>
        <v>673766</v>
      </c>
      <c r="O31" s="4">
        <f t="shared" si="1"/>
        <v>746285</v>
      </c>
      <c r="P31" s="4">
        <f t="shared" si="2"/>
        <v>410456.75000000006</v>
      </c>
      <c r="Q31" s="40">
        <f>(D31/528000)*100</f>
        <v>80.189393939393938</v>
      </c>
      <c r="R31" s="31">
        <f t="shared" ref="R31:R33" si="4">(E31/528000)*100</f>
        <v>63.125</v>
      </c>
    </row>
    <row r="32" spans="1:18" x14ac:dyDescent="0.25">
      <c r="A32" s="7">
        <v>30</v>
      </c>
      <c r="B32" s="5" t="s">
        <v>130</v>
      </c>
      <c r="C32" s="2" t="s">
        <v>21</v>
      </c>
      <c r="D32" s="2">
        <v>413300</v>
      </c>
      <c r="E32" s="2">
        <v>332300</v>
      </c>
      <c r="F32" s="2">
        <v>18090</v>
      </c>
      <c r="G32" s="2">
        <v>45340</v>
      </c>
      <c r="H32" s="2">
        <v>555543.19999999995</v>
      </c>
      <c r="I32" s="2">
        <v>79914.399999999994</v>
      </c>
      <c r="J32" s="2">
        <v>48478</v>
      </c>
      <c r="K32" s="2">
        <v>34357.199999999997</v>
      </c>
      <c r="L32" s="4">
        <v>23300</v>
      </c>
      <c r="M32" s="4">
        <v>31257.200000000001</v>
      </c>
      <c r="N32" s="4">
        <f t="shared" si="0"/>
        <v>655732</v>
      </c>
      <c r="O32" s="4">
        <f t="shared" si="1"/>
        <v>727510</v>
      </c>
      <c r="P32" s="4">
        <f t="shared" si="2"/>
        <v>400130.50000000006</v>
      </c>
      <c r="Q32" s="40">
        <f>(D32/528000)*100</f>
        <v>78.276515151515142</v>
      </c>
      <c r="R32" s="31">
        <f t="shared" si="4"/>
        <v>62.935606060606062</v>
      </c>
    </row>
    <row r="33" spans="1:18" x14ac:dyDescent="0.25">
      <c r="A33" s="7">
        <v>31</v>
      </c>
      <c r="B33" s="5" t="s">
        <v>131</v>
      </c>
      <c r="C33" s="2" t="s">
        <v>21</v>
      </c>
      <c r="D33" s="2">
        <v>416300</v>
      </c>
      <c r="E33" s="2">
        <v>331500</v>
      </c>
      <c r="F33" s="2">
        <v>17850</v>
      </c>
      <c r="G33" s="2">
        <v>62615</v>
      </c>
      <c r="H33" s="2">
        <v>562889.19999999995</v>
      </c>
      <c r="I33" s="2">
        <v>94596.4</v>
      </c>
      <c r="J33" s="2">
        <v>48083</v>
      </c>
      <c r="K33" s="2">
        <v>34248.199999999997</v>
      </c>
      <c r="L33" s="4">
        <v>22500</v>
      </c>
      <c r="M33" s="4">
        <v>30248.2</v>
      </c>
      <c r="N33" s="4">
        <f t="shared" si="0"/>
        <v>659367</v>
      </c>
      <c r="O33" s="4">
        <f t="shared" si="1"/>
        <v>729950</v>
      </c>
      <c r="P33" s="4">
        <f t="shared" si="2"/>
        <v>401472.50000000006</v>
      </c>
      <c r="Q33" s="40">
        <f>(D33/528000)*100</f>
        <v>78.844696969696969</v>
      </c>
      <c r="R33" s="31">
        <f t="shared" si="4"/>
        <v>62.784090909090907</v>
      </c>
    </row>
    <row r="34" spans="1:18" x14ac:dyDescent="0.25">
      <c r="A34" s="68"/>
      <c r="B34" s="69"/>
      <c r="C34" s="8" t="s">
        <v>15</v>
      </c>
      <c r="D34" s="8">
        <f t="shared" ref="D34:M34" si="5">SUM(D3:D33)</f>
        <v>11176300</v>
      </c>
      <c r="E34" s="8">
        <f t="shared" si="5"/>
        <v>9850600</v>
      </c>
      <c r="F34" s="8">
        <f t="shared" si="5"/>
        <v>280730</v>
      </c>
      <c r="G34" s="8">
        <f t="shared" si="5"/>
        <v>3082310</v>
      </c>
      <c r="H34" s="8">
        <f t="shared" si="5"/>
        <v>17145839.199999999</v>
      </c>
      <c r="I34" s="23">
        <f t="shared" si="5"/>
        <v>2693946.4</v>
      </c>
      <c r="J34" s="8">
        <f t="shared" si="5"/>
        <v>1384748</v>
      </c>
      <c r="K34" s="8">
        <f t="shared" si="5"/>
        <v>986173.49999999988</v>
      </c>
      <c r="L34" s="8">
        <f t="shared" si="5"/>
        <v>686000</v>
      </c>
      <c r="M34" s="8">
        <f t="shared" si="5"/>
        <v>931772.89999999991</v>
      </c>
      <c r="N34" s="16">
        <f t="shared" si="0"/>
        <v>18675422</v>
      </c>
      <c r="O34" s="16">
        <f t="shared" si="1"/>
        <v>20746170</v>
      </c>
      <c r="P34" s="16">
        <f t="shared" si="2"/>
        <v>11410393.5</v>
      </c>
      <c r="Q34" s="47">
        <f>SUM(Q3:Q33)/30</f>
        <v>70.557449494949495</v>
      </c>
      <c r="R34" s="13">
        <f>SUM(R3:R33)/30</f>
        <v>62.188131313131308</v>
      </c>
    </row>
    <row r="35" spans="1:18" x14ac:dyDescent="0.25">
      <c r="A35" s="70"/>
      <c r="B35" s="71"/>
      <c r="C35" s="8" t="s">
        <v>16</v>
      </c>
      <c r="D35" s="2">
        <v>11176300</v>
      </c>
      <c r="E35" s="2"/>
      <c r="F35" s="2">
        <v>277200</v>
      </c>
      <c r="G35" s="2">
        <v>3137940</v>
      </c>
      <c r="H35" s="2"/>
      <c r="I35" s="2"/>
      <c r="J35" s="2"/>
      <c r="K35" s="2"/>
      <c r="L35" s="2"/>
      <c r="M35" s="2"/>
      <c r="N35" s="2"/>
      <c r="O35" s="2"/>
      <c r="P35" s="2"/>
      <c r="Q35" s="49"/>
      <c r="R35" s="2"/>
    </row>
    <row r="36" spans="1:18" x14ac:dyDescent="0.25">
      <c r="A36" s="70"/>
      <c r="B36" s="71"/>
      <c r="C36" s="8" t="s">
        <v>17</v>
      </c>
      <c r="D36" s="2">
        <v>0</v>
      </c>
      <c r="E36" s="2"/>
      <c r="F36" s="2"/>
      <c r="G36" s="2"/>
      <c r="H36" s="63">
        <v>59160</v>
      </c>
      <c r="I36" s="64"/>
      <c r="J36" s="64"/>
      <c r="K36" s="64"/>
      <c r="L36" s="64"/>
      <c r="M36" s="65"/>
      <c r="N36" s="2"/>
      <c r="O36" s="2"/>
      <c r="P36" s="2"/>
      <c r="Q36" s="2"/>
      <c r="R36" s="4"/>
    </row>
    <row r="37" spans="1:18" x14ac:dyDescent="0.25">
      <c r="A37" s="70"/>
      <c r="B37" s="71"/>
      <c r="C37" s="8" t="s">
        <v>18</v>
      </c>
      <c r="D37" s="2"/>
      <c r="E37" s="2"/>
      <c r="F37" s="2"/>
      <c r="G37" s="2"/>
      <c r="H37" s="2">
        <v>17175419.199999999</v>
      </c>
      <c r="I37" s="2">
        <v>2705778.4</v>
      </c>
      <c r="J37" s="2"/>
      <c r="K37" s="2">
        <v>995047.5</v>
      </c>
      <c r="L37" s="2"/>
      <c r="M37" s="50">
        <v>940646.9</v>
      </c>
      <c r="N37" s="2"/>
      <c r="O37" s="2"/>
      <c r="P37" s="2"/>
      <c r="Q37" s="2"/>
      <c r="R37" s="2"/>
    </row>
    <row r="38" spans="1:18" x14ac:dyDescent="0.25">
      <c r="A38" s="70"/>
      <c r="B38" s="71"/>
      <c r="C38" s="8" t="s">
        <v>19</v>
      </c>
      <c r="D38" s="2">
        <v>725072.4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 x14ac:dyDescent="0.25">
      <c r="A39" s="72"/>
      <c r="B39" s="73"/>
      <c r="C39" s="8" t="s">
        <v>20</v>
      </c>
      <c r="D39" s="2">
        <v>736248.7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 x14ac:dyDescent="0.25">
      <c r="A40" s="1"/>
      <c r="B40" s="1"/>
      <c r="C40" s="1"/>
      <c r="D40" s="1">
        <f>D39-D38</f>
        <v>11176.29999999993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2" spans="1:18" x14ac:dyDescent="0.25">
      <c r="I42" s="51"/>
    </row>
    <row r="43" spans="1:18" x14ac:dyDescent="0.25">
      <c r="F43">
        <f>D34+E34+G35</f>
        <v>24164840</v>
      </c>
      <c r="G43" s="48">
        <f>F35+H34+I34+J34+K34+L34+M34</f>
        <v>24105679.999999996</v>
      </c>
      <c r="H43" s="48"/>
      <c r="I43" s="48"/>
    </row>
    <row r="44" spans="1:18" x14ac:dyDescent="0.25">
      <c r="H44" s="48"/>
    </row>
    <row r="45" spans="1:18" x14ac:dyDescent="0.25">
      <c r="F45" s="48">
        <f>F43-G43</f>
        <v>59160.000000003725</v>
      </c>
    </row>
  </sheetData>
  <mergeCells count="3">
    <mergeCell ref="A1:R1"/>
    <mergeCell ref="A34:B39"/>
    <mergeCell ref="H36:M36"/>
  </mergeCells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44"/>
  <sheetViews>
    <sheetView topLeftCell="A16" zoomScaleNormal="100" workbookViewId="0">
      <selection activeCell="J42" sqref="J42"/>
    </sheetView>
  </sheetViews>
  <sheetFormatPr defaultRowHeight="15" x14ac:dyDescent="0.25"/>
  <cols>
    <col min="2" max="2" width="11.140625" customWidth="1"/>
    <col min="3" max="3" width="18.85546875" customWidth="1"/>
    <col min="4" max="4" width="11.140625" customWidth="1"/>
    <col min="8" max="8" width="13.85546875" customWidth="1"/>
    <col min="9" max="9" width="13.5703125" customWidth="1"/>
    <col min="10" max="10" width="10.42578125" customWidth="1"/>
    <col min="12" max="12" width="11.28515625" customWidth="1"/>
    <col min="13" max="13" width="11" customWidth="1"/>
    <col min="15" max="15" width="14" customWidth="1"/>
    <col min="16" max="16" width="11.140625" customWidth="1"/>
  </cols>
  <sheetData>
    <row r="1" spans="1:18" ht="40.5" customHeight="1" thickBot="1" x14ac:dyDescent="0.3">
      <c r="A1" s="66" t="s">
        <v>99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59"/>
    </row>
    <row r="2" spans="1:18" ht="61.5" customHeight="1" thickBot="1" x14ac:dyDescent="0.3">
      <c r="A2" s="9" t="s">
        <v>0</v>
      </c>
      <c r="B2" s="10" t="s">
        <v>1</v>
      </c>
      <c r="C2" s="10" t="s">
        <v>2</v>
      </c>
      <c r="D2" s="21" t="s">
        <v>56</v>
      </c>
      <c r="E2" s="21" t="s">
        <v>57</v>
      </c>
      <c r="F2" s="21" t="s">
        <v>4</v>
      </c>
      <c r="G2" s="21" t="s">
        <v>5</v>
      </c>
      <c r="H2" s="21" t="s">
        <v>6</v>
      </c>
      <c r="I2" s="21" t="s">
        <v>7</v>
      </c>
      <c r="J2" s="21" t="s">
        <v>64</v>
      </c>
      <c r="K2" s="21" t="s">
        <v>66</v>
      </c>
      <c r="L2" s="21" t="s">
        <v>100</v>
      </c>
      <c r="M2" s="21" t="s">
        <v>67</v>
      </c>
      <c r="N2" s="21" t="s">
        <v>10</v>
      </c>
      <c r="O2" s="21" t="s">
        <v>11</v>
      </c>
      <c r="P2" s="10" t="s">
        <v>12</v>
      </c>
      <c r="Q2" s="45" t="s">
        <v>54</v>
      </c>
      <c r="R2" s="46" t="s">
        <v>55</v>
      </c>
    </row>
    <row r="3" spans="1:18" x14ac:dyDescent="0.25">
      <c r="A3" s="6">
        <v>1</v>
      </c>
      <c r="B3" s="5" t="s">
        <v>101</v>
      </c>
      <c r="C3" s="4" t="s">
        <v>21</v>
      </c>
      <c r="D3" s="4">
        <v>416500</v>
      </c>
      <c r="E3" s="4">
        <v>367900</v>
      </c>
      <c r="F3" s="4">
        <v>67805</v>
      </c>
      <c r="G3" s="4">
        <v>10015</v>
      </c>
      <c r="H3" s="4">
        <v>503737.59999999998</v>
      </c>
      <c r="I3" s="4">
        <v>71879.199999999997</v>
      </c>
      <c r="J3" s="4">
        <v>54314</v>
      </c>
      <c r="K3" s="4">
        <v>33639.599999999999</v>
      </c>
      <c r="L3" s="4">
        <v>28900</v>
      </c>
      <c r="M3" s="4">
        <v>34139.599999999999</v>
      </c>
      <c r="N3" s="4">
        <f>(D3+E3)-F3-J3-L3</f>
        <v>633381</v>
      </c>
      <c r="O3" s="4">
        <f>(D3+E3)-F3</f>
        <v>716595</v>
      </c>
      <c r="P3" s="4">
        <f>O3*0.55</f>
        <v>394127.25000000006</v>
      </c>
      <c r="Q3" s="40">
        <f>(D3/528000)*100</f>
        <v>78.882575757575751</v>
      </c>
      <c r="R3" s="31">
        <f>(E3/528000)*100</f>
        <v>69.678030303030297</v>
      </c>
    </row>
    <row r="4" spans="1:18" x14ac:dyDescent="0.25">
      <c r="A4" s="7">
        <v>2</v>
      </c>
      <c r="B4" s="5" t="s">
        <v>102</v>
      </c>
      <c r="C4" s="2" t="s">
        <v>21</v>
      </c>
      <c r="D4" s="2">
        <v>414600</v>
      </c>
      <c r="E4" s="2">
        <v>362800</v>
      </c>
      <c r="F4" s="2">
        <v>53100</v>
      </c>
      <c r="G4" s="2">
        <v>17400</v>
      </c>
      <c r="H4" s="2">
        <v>516866.4</v>
      </c>
      <c r="I4" s="2">
        <v>76688.800000000003</v>
      </c>
      <c r="J4" s="2">
        <v>52356</v>
      </c>
      <c r="K4" s="2">
        <v>33744.400000000001</v>
      </c>
      <c r="L4" s="4">
        <v>28200</v>
      </c>
      <c r="M4" s="4">
        <v>33844.400000000001</v>
      </c>
      <c r="N4" s="4">
        <f t="shared" ref="N4:N34" si="0">(D4+E4)-F4-J4-L4</f>
        <v>643744</v>
      </c>
      <c r="O4" s="4">
        <f t="shared" ref="O4:O34" si="1">(D4+E4)-F4</f>
        <v>724300</v>
      </c>
      <c r="P4" s="4">
        <f t="shared" ref="P4:P34" si="2">O4*0.55</f>
        <v>398365.00000000006</v>
      </c>
      <c r="Q4" s="40">
        <f>(D4/528000)*100</f>
        <v>78.52272727272728</v>
      </c>
      <c r="R4" s="31">
        <f>(E4/528000)*100</f>
        <v>68.712121212121218</v>
      </c>
    </row>
    <row r="5" spans="1:18" x14ac:dyDescent="0.25">
      <c r="A5" s="7">
        <v>3</v>
      </c>
      <c r="B5" s="5" t="s">
        <v>103</v>
      </c>
      <c r="C5" s="2" t="s">
        <v>21</v>
      </c>
      <c r="D5" s="2">
        <v>414900</v>
      </c>
      <c r="E5" s="2">
        <v>355600</v>
      </c>
      <c r="F5" s="2">
        <v>20075</v>
      </c>
      <c r="G5" s="2">
        <v>28190</v>
      </c>
      <c r="H5" s="2">
        <v>558312.19999999995</v>
      </c>
      <c r="I5" s="2">
        <v>76937.399999999994</v>
      </c>
      <c r="J5" s="2">
        <v>52528</v>
      </c>
      <c r="K5" s="2">
        <v>32118.7</v>
      </c>
      <c r="L5" s="4">
        <v>26200</v>
      </c>
      <c r="M5" s="4">
        <v>32518.7</v>
      </c>
      <c r="N5" s="4">
        <f t="shared" si="0"/>
        <v>671697</v>
      </c>
      <c r="O5" s="4">
        <f t="shared" si="1"/>
        <v>750425</v>
      </c>
      <c r="P5" s="4">
        <f t="shared" si="2"/>
        <v>412733.75000000006</v>
      </c>
      <c r="Q5" s="40">
        <f t="shared" ref="Q5:R30" si="3">(D5/528000)*100</f>
        <v>78.579545454545453</v>
      </c>
      <c r="R5" s="31">
        <f t="shared" si="3"/>
        <v>67.348484848484844</v>
      </c>
    </row>
    <row r="6" spans="1:18" x14ac:dyDescent="0.25">
      <c r="A6" s="7">
        <v>4</v>
      </c>
      <c r="B6" s="5" t="s">
        <v>104</v>
      </c>
      <c r="C6" s="2" t="s">
        <v>21</v>
      </c>
      <c r="D6" s="2">
        <v>401000</v>
      </c>
      <c r="E6" s="2">
        <v>358900</v>
      </c>
      <c r="F6" s="2">
        <v>23310</v>
      </c>
      <c r="G6" s="2">
        <v>32840</v>
      </c>
      <c r="H6" s="2">
        <v>548803.6</v>
      </c>
      <c r="I6" s="2">
        <v>81301.2</v>
      </c>
      <c r="J6" s="2">
        <v>51324</v>
      </c>
      <c r="K6" s="2">
        <v>30400.6</v>
      </c>
      <c r="L6" s="4">
        <v>25400</v>
      </c>
      <c r="M6" s="4">
        <v>32200.6</v>
      </c>
      <c r="N6" s="4">
        <f t="shared" si="0"/>
        <v>659866</v>
      </c>
      <c r="O6" s="4">
        <f t="shared" si="1"/>
        <v>736590</v>
      </c>
      <c r="P6" s="4">
        <f t="shared" si="2"/>
        <v>405124.50000000006</v>
      </c>
      <c r="Q6" s="40">
        <f t="shared" si="3"/>
        <v>75.946969696969703</v>
      </c>
      <c r="R6" s="31">
        <f t="shared" si="3"/>
        <v>67.973484848484844</v>
      </c>
    </row>
    <row r="7" spans="1:18" x14ac:dyDescent="0.25">
      <c r="A7" s="7">
        <v>5</v>
      </c>
      <c r="B7" s="5" t="s">
        <v>105</v>
      </c>
      <c r="C7" s="2" t="s">
        <v>21</v>
      </c>
      <c r="D7" s="2">
        <v>387600</v>
      </c>
      <c r="E7" s="2">
        <v>356000</v>
      </c>
      <c r="F7" s="2">
        <v>56825</v>
      </c>
      <c r="G7" s="2">
        <v>13735</v>
      </c>
      <c r="H7" s="2">
        <v>492090.8</v>
      </c>
      <c r="I7" s="2">
        <v>70863.600000000006</v>
      </c>
      <c r="J7" s="2">
        <v>49792</v>
      </c>
      <c r="K7" s="2">
        <v>29881.8</v>
      </c>
      <c r="L7" s="4">
        <v>25800</v>
      </c>
      <c r="M7" s="4">
        <v>32081.8</v>
      </c>
      <c r="N7" s="4">
        <f t="shared" si="0"/>
        <v>611183</v>
      </c>
      <c r="O7" s="4">
        <f t="shared" si="1"/>
        <v>686775</v>
      </c>
      <c r="P7" s="4">
        <f t="shared" si="2"/>
        <v>377726.25000000006</v>
      </c>
      <c r="Q7" s="40">
        <f t="shared" si="3"/>
        <v>73.409090909090907</v>
      </c>
      <c r="R7" s="31">
        <f t="shared" si="3"/>
        <v>67.424242424242422</v>
      </c>
    </row>
    <row r="8" spans="1:18" x14ac:dyDescent="0.25">
      <c r="A8" s="7">
        <v>6</v>
      </c>
      <c r="B8" s="5" t="s">
        <v>106</v>
      </c>
      <c r="C8" s="2" t="s">
        <v>21</v>
      </c>
      <c r="D8" s="2">
        <v>362000</v>
      </c>
      <c r="E8" s="2">
        <v>349600</v>
      </c>
      <c r="F8" s="2">
        <v>88890</v>
      </c>
      <c r="G8" s="2">
        <v>2880</v>
      </c>
      <c r="H8" s="2">
        <v>422719</v>
      </c>
      <c r="I8" s="2">
        <v>66773</v>
      </c>
      <c r="J8" s="2">
        <v>45125</v>
      </c>
      <c r="K8" s="2">
        <v>33236.5</v>
      </c>
      <c r="L8" s="4">
        <v>25800</v>
      </c>
      <c r="M8" s="4">
        <v>31936.5</v>
      </c>
      <c r="N8" s="4">
        <f t="shared" si="0"/>
        <v>551785</v>
      </c>
      <c r="O8" s="4">
        <f t="shared" si="1"/>
        <v>622710</v>
      </c>
      <c r="P8" s="4">
        <f t="shared" si="2"/>
        <v>342490.5</v>
      </c>
      <c r="Q8" s="40">
        <f t="shared" si="3"/>
        <v>68.560606060606062</v>
      </c>
      <c r="R8" s="31">
        <f t="shared" si="3"/>
        <v>66.212121212121218</v>
      </c>
    </row>
    <row r="9" spans="1:18" x14ac:dyDescent="0.25">
      <c r="A9" s="7">
        <v>7</v>
      </c>
      <c r="B9" s="5" t="s">
        <v>107</v>
      </c>
      <c r="C9" s="2" t="s">
        <v>21</v>
      </c>
      <c r="D9" s="2">
        <v>403100</v>
      </c>
      <c r="E9" s="2">
        <v>343800</v>
      </c>
      <c r="F9" s="2">
        <v>87170</v>
      </c>
      <c r="G9" s="2">
        <v>1795</v>
      </c>
      <c r="H9" s="2">
        <v>448675.2</v>
      </c>
      <c r="I9" s="2">
        <v>73858.399999999994</v>
      </c>
      <c r="J9" s="2">
        <v>48633</v>
      </c>
      <c r="K9" s="2">
        <v>33079.199999999997</v>
      </c>
      <c r="L9" s="4">
        <v>25300</v>
      </c>
      <c r="M9" s="4">
        <v>31979.200000000001</v>
      </c>
      <c r="N9" s="4">
        <f t="shared" si="0"/>
        <v>585797</v>
      </c>
      <c r="O9" s="4">
        <f t="shared" si="1"/>
        <v>659730</v>
      </c>
      <c r="P9" s="4">
        <f t="shared" si="2"/>
        <v>362851.50000000006</v>
      </c>
      <c r="Q9" s="40">
        <f t="shared" si="3"/>
        <v>76.344696969696969</v>
      </c>
      <c r="R9" s="31">
        <f t="shared" si="3"/>
        <v>65.11363636363636</v>
      </c>
    </row>
    <row r="10" spans="1:18" x14ac:dyDescent="0.25">
      <c r="A10" s="7">
        <v>8</v>
      </c>
      <c r="B10" s="5" t="s">
        <v>108</v>
      </c>
      <c r="C10" s="2" t="s">
        <v>21</v>
      </c>
      <c r="D10" s="2">
        <v>402900</v>
      </c>
      <c r="E10" s="2">
        <v>343200</v>
      </c>
      <c r="F10" s="2">
        <v>84760</v>
      </c>
      <c r="G10" s="2">
        <v>3025</v>
      </c>
      <c r="H10" s="2">
        <v>461219.6</v>
      </c>
      <c r="I10" s="2">
        <v>66673.2</v>
      </c>
      <c r="J10" s="2">
        <v>46899</v>
      </c>
      <c r="K10" s="2">
        <v>34036.6</v>
      </c>
      <c r="L10" s="4">
        <v>24300</v>
      </c>
      <c r="M10" s="4">
        <v>31236.6</v>
      </c>
      <c r="N10" s="4">
        <f t="shared" si="0"/>
        <v>590141</v>
      </c>
      <c r="O10" s="4">
        <f t="shared" si="1"/>
        <v>661340</v>
      </c>
      <c r="P10" s="4">
        <f t="shared" si="2"/>
        <v>363737.00000000006</v>
      </c>
      <c r="Q10" s="40">
        <f t="shared" si="3"/>
        <v>76.306818181818187</v>
      </c>
      <c r="R10" s="31">
        <f t="shared" si="3"/>
        <v>65</v>
      </c>
    </row>
    <row r="11" spans="1:18" x14ac:dyDescent="0.25">
      <c r="A11" s="7">
        <v>9</v>
      </c>
      <c r="B11" s="5" t="s">
        <v>109</v>
      </c>
      <c r="C11" s="2" t="s">
        <v>21</v>
      </c>
      <c r="D11" s="2">
        <v>411700</v>
      </c>
      <c r="E11" s="2">
        <v>350000</v>
      </c>
      <c r="F11" s="2">
        <v>49315</v>
      </c>
      <c r="G11" s="2">
        <v>16460</v>
      </c>
      <c r="H11" s="2">
        <v>509640.2</v>
      </c>
      <c r="I11" s="2">
        <v>82913.399999999994</v>
      </c>
      <c r="J11" s="2">
        <v>46978</v>
      </c>
      <c r="K11" s="2">
        <v>33806.699999999997</v>
      </c>
      <c r="L11" s="4">
        <v>23800</v>
      </c>
      <c r="M11" s="4">
        <v>31706.7</v>
      </c>
      <c r="N11" s="4">
        <f t="shared" si="0"/>
        <v>641607</v>
      </c>
      <c r="O11" s="4">
        <f t="shared" si="1"/>
        <v>712385</v>
      </c>
      <c r="P11" s="4">
        <f t="shared" si="2"/>
        <v>391811.75000000006</v>
      </c>
      <c r="Q11" s="40">
        <f t="shared" si="3"/>
        <v>77.973484848484858</v>
      </c>
      <c r="R11" s="31">
        <f t="shared" si="3"/>
        <v>66.287878787878782</v>
      </c>
    </row>
    <row r="12" spans="1:18" x14ac:dyDescent="0.25">
      <c r="A12" s="7">
        <v>10</v>
      </c>
      <c r="B12" s="5" t="s">
        <v>110</v>
      </c>
      <c r="C12" s="2" t="s">
        <v>21</v>
      </c>
      <c r="D12" s="2">
        <v>384600</v>
      </c>
      <c r="E12" s="2">
        <v>380300</v>
      </c>
      <c r="F12" s="2">
        <v>84505</v>
      </c>
      <c r="G12" s="2">
        <v>11205</v>
      </c>
      <c r="H12" s="2">
        <v>462671.6</v>
      </c>
      <c r="I12" s="2">
        <v>90157.2</v>
      </c>
      <c r="J12" s="2">
        <v>45314</v>
      </c>
      <c r="K12" s="2">
        <v>33978.6</v>
      </c>
      <c r="L12" s="4">
        <v>25600</v>
      </c>
      <c r="M12" s="4">
        <v>33878.6</v>
      </c>
      <c r="N12" s="4">
        <f t="shared" si="0"/>
        <v>609481</v>
      </c>
      <c r="O12" s="4">
        <f t="shared" si="1"/>
        <v>680395</v>
      </c>
      <c r="P12" s="4">
        <f t="shared" si="2"/>
        <v>374217.25000000006</v>
      </c>
      <c r="Q12" s="40">
        <f t="shared" si="3"/>
        <v>72.840909090909093</v>
      </c>
      <c r="R12" s="31">
        <f t="shared" si="3"/>
        <v>72.026515151515142</v>
      </c>
    </row>
    <row r="13" spans="1:18" x14ac:dyDescent="0.25">
      <c r="A13" s="7">
        <v>11</v>
      </c>
      <c r="B13" s="5" t="s">
        <v>111</v>
      </c>
      <c r="C13" s="2" t="s">
        <v>21</v>
      </c>
      <c r="D13" s="2">
        <v>340300</v>
      </c>
      <c r="E13" s="2">
        <v>384000</v>
      </c>
      <c r="F13" s="2">
        <v>113830</v>
      </c>
      <c r="G13" s="2">
        <v>2215</v>
      </c>
      <c r="H13" s="2">
        <v>384269.2</v>
      </c>
      <c r="I13" s="2">
        <v>92056.4</v>
      </c>
      <c r="J13" s="2">
        <v>41403</v>
      </c>
      <c r="K13" s="2">
        <v>33828.199999999997</v>
      </c>
      <c r="L13" s="4">
        <v>26800</v>
      </c>
      <c r="M13" s="4">
        <v>34328.199999999997</v>
      </c>
      <c r="N13" s="4">
        <f t="shared" si="0"/>
        <v>542267</v>
      </c>
      <c r="O13" s="4">
        <f t="shared" si="1"/>
        <v>610470</v>
      </c>
      <c r="P13" s="4">
        <f t="shared" si="2"/>
        <v>335758.5</v>
      </c>
      <c r="Q13" s="40">
        <f t="shared" si="3"/>
        <v>64.450757575757578</v>
      </c>
      <c r="R13" s="31">
        <f t="shared" si="3"/>
        <v>72.727272727272734</v>
      </c>
    </row>
    <row r="14" spans="1:18" x14ac:dyDescent="0.25">
      <c r="A14" s="7">
        <v>12</v>
      </c>
      <c r="B14" s="5" t="s">
        <v>112</v>
      </c>
      <c r="C14" s="2" t="s">
        <v>21</v>
      </c>
      <c r="D14" s="2">
        <v>388500</v>
      </c>
      <c r="E14" s="2">
        <v>392100</v>
      </c>
      <c r="F14" s="2">
        <v>70465</v>
      </c>
      <c r="G14" s="2">
        <v>7410</v>
      </c>
      <c r="H14" s="2">
        <v>480443.6</v>
      </c>
      <c r="I14" s="2">
        <v>91881.2</v>
      </c>
      <c r="J14" s="2">
        <v>47939</v>
      </c>
      <c r="K14" s="2">
        <v>34240.6</v>
      </c>
      <c r="L14" s="4">
        <v>28100</v>
      </c>
      <c r="M14" s="4">
        <v>34940.6</v>
      </c>
      <c r="N14" s="4">
        <f t="shared" si="0"/>
        <v>634096</v>
      </c>
      <c r="O14" s="4">
        <f t="shared" si="1"/>
        <v>710135</v>
      </c>
      <c r="P14" s="4">
        <f t="shared" si="2"/>
        <v>390574.25000000006</v>
      </c>
      <c r="Q14" s="40">
        <f t="shared" si="3"/>
        <v>73.579545454545453</v>
      </c>
      <c r="R14" s="31">
        <f t="shared" si="3"/>
        <v>74.261363636363626</v>
      </c>
    </row>
    <row r="15" spans="1:18" x14ac:dyDescent="0.25">
      <c r="A15" s="7">
        <v>13</v>
      </c>
      <c r="B15" s="5" t="s">
        <v>113</v>
      </c>
      <c r="C15" s="2" t="s">
        <v>21</v>
      </c>
      <c r="D15" s="2">
        <v>395300</v>
      </c>
      <c r="E15" s="2">
        <v>403700</v>
      </c>
      <c r="F15" s="2">
        <v>33370</v>
      </c>
      <c r="G15" s="2">
        <v>20550</v>
      </c>
      <c r="H15" s="2">
        <v>551410.19999999995</v>
      </c>
      <c r="I15" s="2">
        <v>90803.4</v>
      </c>
      <c r="J15" s="2">
        <v>47063</v>
      </c>
      <c r="K15" s="2">
        <v>32351.7</v>
      </c>
      <c r="L15" s="4">
        <v>28400</v>
      </c>
      <c r="M15" s="4">
        <v>36151.699999999997</v>
      </c>
      <c r="N15" s="4">
        <f t="shared" si="0"/>
        <v>690167</v>
      </c>
      <c r="O15" s="4">
        <f t="shared" si="1"/>
        <v>765630</v>
      </c>
      <c r="P15" s="4">
        <f t="shared" si="2"/>
        <v>421096.50000000006</v>
      </c>
      <c r="Q15" s="40">
        <f t="shared" si="3"/>
        <v>74.867424242424235</v>
      </c>
      <c r="R15" s="31">
        <f t="shared" si="3"/>
        <v>76.458333333333329</v>
      </c>
    </row>
    <row r="16" spans="1:18" x14ac:dyDescent="0.25">
      <c r="A16" s="7">
        <v>14</v>
      </c>
      <c r="B16" s="5" t="s">
        <v>114</v>
      </c>
      <c r="C16" s="2" t="s">
        <v>21</v>
      </c>
      <c r="D16" s="2">
        <v>367200</v>
      </c>
      <c r="E16" s="2">
        <v>388400</v>
      </c>
      <c r="F16" s="2">
        <v>14745</v>
      </c>
      <c r="G16" s="2">
        <v>50695</v>
      </c>
      <c r="H16" s="2">
        <v>555784.19999999995</v>
      </c>
      <c r="I16" s="2">
        <v>97061.4</v>
      </c>
      <c r="J16" s="2">
        <v>49743</v>
      </c>
      <c r="K16" s="2">
        <v>25530.7</v>
      </c>
      <c r="L16" s="4">
        <v>28300</v>
      </c>
      <c r="M16" s="4">
        <v>35130.699999999997</v>
      </c>
      <c r="N16" s="4">
        <f t="shared" si="0"/>
        <v>662812</v>
      </c>
      <c r="O16" s="4">
        <f t="shared" si="1"/>
        <v>740855</v>
      </c>
      <c r="P16" s="4">
        <f t="shared" si="2"/>
        <v>407470.25000000006</v>
      </c>
      <c r="Q16" s="40">
        <f t="shared" si="3"/>
        <v>69.545454545454547</v>
      </c>
      <c r="R16" s="31">
        <f t="shared" si="3"/>
        <v>73.560606060606062</v>
      </c>
    </row>
    <row r="17" spans="1:18" x14ac:dyDescent="0.25">
      <c r="A17" s="7">
        <v>15</v>
      </c>
      <c r="B17" s="5" t="s">
        <v>115</v>
      </c>
      <c r="C17" s="2" t="s">
        <v>21</v>
      </c>
      <c r="D17" s="2">
        <v>368200</v>
      </c>
      <c r="E17" s="2">
        <v>370300</v>
      </c>
      <c r="F17" s="2">
        <v>11905</v>
      </c>
      <c r="G17" s="2">
        <v>63125</v>
      </c>
      <c r="H17" s="2">
        <v>562339.19999999995</v>
      </c>
      <c r="I17" s="2">
        <v>96646.399999999994</v>
      </c>
      <c r="J17" s="2">
        <v>49988</v>
      </c>
      <c r="K17" s="2">
        <v>19723.2</v>
      </c>
      <c r="L17" s="4">
        <v>27300</v>
      </c>
      <c r="M17" s="4">
        <v>33723.199999999997</v>
      </c>
      <c r="N17" s="4">
        <f t="shared" si="0"/>
        <v>649307</v>
      </c>
      <c r="O17" s="4">
        <f t="shared" si="1"/>
        <v>726595</v>
      </c>
      <c r="P17" s="4">
        <f t="shared" si="2"/>
        <v>399627.25000000006</v>
      </c>
      <c r="Q17" s="40">
        <f t="shared" si="3"/>
        <v>69.734848484848484</v>
      </c>
      <c r="R17" s="31">
        <f t="shared" si="3"/>
        <v>70.132575757575751</v>
      </c>
    </row>
    <row r="18" spans="1:18" x14ac:dyDescent="0.25">
      <c r="A18" s="7">
        <v>16</v>
      </c>
      <c r="B18" s="5" t="s">
        <v>116</v>
      </c>
      <c r="C18" s="2" t="s">
        <v>21</v>
      </c>
      <c r="D18" s="2">
        <v>352700</v>
      </c>
      <c r="E18" s="2">
        <v>379200</v>
      </c>
      <c r="F18" s="2">
        <v>22255</v>
      </c>
      <c r="G18" s="2">
        <v>39295</v>
      </c>
      <c r="H18" s="2">
        <v>538468.6</v>
      </c>
      <c r="I18" s="2">
        <v>82756.2</v>
      </c>
      <c r="J18" s="2">
        <v>48359</v>
      </c>
      <c r="K18" s="2">
        <v>18078.099999999999</v>
      </c>
      <c r="L18" s="4">
        <v>27700</v>
      </c>
      <c r="M18" s="4">
        <v>33578.1</v>
      </c>
      <c r="N18" s="4">
        <f t="shared" si="0"/>
        <v>633586</v>
      </c>
      <c r="O18" s="4">
        <f t="shared" si="1"/>
        <v>709645</v>
      </c>
      <c r="P18" s="4">
        <f t="shared" si="2"/>
        <v>390304.75000000006</v>
      </c>
      <c r="Q18" s="40">
        <f t="shared" si="3"/>
        <v>66.799242424242422</v>
      </c>
      <c r="R18" s="31">
        <f t="shared" si="3"/>
        <v>71.818181818181813</v>
      </c>
    </row>
    <row r="19" spans="1:18" x14ac:dyDescent="0.25">
      <c r="A19" s="7">
        <v>17</v>
      </c>
      <c r="B19" s="5" t="s">
        <v>117</v>
      </c>
      <c r="C19" s="2" t="s">
        <v>21</v>
      </c>
      <c r="D19" s="2">
        <v>354400</v>
      </c>
      <c r="E19" s="2">
        <v>375100</v>
      </c>
      <c r="F19" s="2">
        <v>9550</v>
      </c>
      <c r="G19" s="2">
        <v>69190</v>
      </c>
      <c r="H19" s="2">
        <v>586252.80000000005</v>
      </c>
      <c r="I19" s="2">
        <v>73917.600000000006</v>
      </c>
      <c r="J19" s="2">
        <v>50252</v>
      </c>
      <c r="K19" s="2">
        <v>18108.8</v>
      </c>
      <c r="L19" s="4">
        <v>26600</v>
      </c>
      <c r="M19" s="4">
        <v>34008.800000000003</v>
      </c>
      <c r="N19" s="4">
        <f t="shared" si="0"/>
        <v>643098</v>
      </c>
      <c r="O19" s="4">
        <f t="shared" si="1"/>
        <v>719950</v>
      </c>
      <c r="P19" s="4">
        <f t="shared" si="2"/>
        <v>395972.50000000006</v>
      </c>
      <c r="Q19" s="40">
        <f t="shared" si="3"/>
        <v>67.121212121212125</v>
      </c>
      <c r="R19" s="31">
        <f t="shared" si="3"/>
        <v>71.041666666666671</v>
      </c>
    </row>
    <row r="20" spans="1:18" x14ac:dyDescent="0.25">
      <c r="A20" s="7">
        <v>18</v>
      </c>
      <c r="B20" s="5" t="s">
        <v>118</v>
      </c>
      <c r="C20" s="2" t="s">
        <v>21</v>
      </c>
      <c r="D20" s="2">
        <v>353100</v>
      </c>
      <c r="E20" s="2">
        <v>342900</v>
      </c>
      <c r="F20" s="2">
        <v>5510</v>
      </c>
      <c r="G20" s="2">
        <v>103695</v>
      </c>
      <c r="H20" s="2">
        <v>563785.80000000005</v>
      </c>
      <c r="I20" s="2">
        <v>104528.6</v>
      </c>
      <c r="J20" s="2">
        <v>49142</v>
      </c>
      <c r="K20" s="2">
        <v>19514.3</v>
      </c>
      <c r="L20" s="4">
        <v>25700</v>
      </c>
      <c r="M20" s="4">
        <v>31514.3</v>
      </c>
      <c r="N20" s="4">
        <f t="shared" si="0"/>
        <v>615648</v>
      </c>
      <c r="O20" s="4">
        <f t="shared" si="1"/>
        <v>690490</v>
      </c>
      <c r="P20" s="4">
        <f t="shared" si="2"/>
        <v>379769.50000000006</v>
      </c>
      <c r="Q20" s="40">
        <f t="shared" si="3"/>
        <v>66.875</v>
      </c>
      <c r="R20" s="31">
        <f t="shared" si="3"/>
        <v>64.943181818181813</v>
      </c>
    </row>
    <row r="21" spans="1:18" x14ac:dyDescent="0.25">
      <c r="A21" s="7">
        <v>19</v>
      </c>
      <c r="B21" s="5" t="s">
        <v>119</v>
      </c>
      <c r="C21" s="2" t="s">
        <v>21</v>
      </c>
      <c r="D21" s="2">
        <v>372200</v>
      </c>
      <c r="E21" s="2">
        <v>318900</v>
      </c>
      <c r="F21" s="2">
        <v>3240</v>
      </c>
      <c r="G21" s="2">
        <v>101280</v>
      </c>
      <c r="H21" s="2">
        <v>551925.19999999995</v>
      </c>
      <c r="I21" s="2">
        <v>103408.4</v>
      </c>
      <c r="J21" s="2">
        <v>48298</v>
      </c>
      <c r="K21" s="2">
        <v>30354.2</v>
      </c>
      <c r="L21" s="4">
        <v>24700</v>
      </c>
      <c r="M21" s="4">
        <v>30454.2</v>
      </c>
      <c r="N21" s="4">
        <f t="shared" si="0"/>
        <v>614862</v>
      </c>
      <c r="O21" s="4">
        <f t="shared" si="1"/>
        <v>687860</v>
      </c>
      <c r="P21" s="4">
        <f t="shared" si="2"/>
        <v>378323.00000000006</v>
      </c>
      <c r="Q21" s="40">
        <f t="shared" si="3"/>
        <v>70.492424242424249</v>
      </c>
      <c r="R21" s="31">
        <f t="shared" si="3"/>
        <v>60.397727272727273</v>
      </c>
    </row>
    <row r="22" spans="1:18" x14ac:dyDescent="0.25">
      <c r="A22" s="7">
        <v>20</v>
      </c>
      <c r="B22" s="5" t="s">
        <v>120</v>
      </c>
      <c r="C22" s="2" t="s">
        <v>21</v>
      </c>
      <c r="D22" s="2">
        <v>382100</v>
      </c>
      <c r="E22" s="2">
        <v>313900</v>
      </c>
      <c r="F22" s="2">
        <v>5425</v>
      </c>
      <c r="G22" s="2">
        <v>96550</v>
      </c>
      <c r="H22" s="2">
        <v>556991.19999999995</v>
      </c>
      <c r="I22" s="2">
        <v>92930.4</v>
      </c>
      <c r="J22" s="2">
        <v>50073</v>
      </c>
      <c r="K22" s="2">
        <v>31665.200000000001</v>
      </c>
      <c r="L22" s="4">
        <v>24900</v>
      </c>
      <c r="M22" s="4">
        <v>30565.200000000001</v>
      </c>
      <c r="N22" s="4">
        <f t="shared" si="0"/>
        <v>615602</v>
      </c>
      <c r="O22" s="4">
        <f t="shared" si="1"/>
        <v>690575</v>
      </c>
      <c r="P22" s="4">
        <f t="shared" si="2"/>
        <v>379816.25000000006</v>
      </c>
      <c r="Q22" s="40">
        <f t="shared" si="3"/>
        <v>72.367424242424235</v>
      </c>
      <c r="R22" s="31">
        <f t="shared" si="3"/>
        <v>59.450757575757571</v>
      </c>
    </row>
    <row r="23" spans="1:18" x14ac:dyDescent="0.25">
      <c r="A23" s="7">
        <v>21</v>
      </c>
      <c r="B23" s="5" t="s">
        <v>121</v>
      </c>
      <c r="C23" s="2" t="s">
        <v>21</v>
      </c>
      <c r="D23" s="2">
        <v>399300</v>
      </c>
      <c r="E23" s="2">
        <v>313600</v>
      </c>
      <c r="F23" s="2">
        <v>4990</v>
      </c>
      <c r="G23" s="2">
        <v>92515</v>
      </c>
      <c r="H23" s="2">
        <v>582123.19999999995</v>
      </c>
      <c r="I23" s="2">
        <v>83474.399999999994</v>
      </c>
      <c r="J23" s="2">
        <v>49953</v>
      </c>
      <c r="K23" s="2">
        <v>30437.200000000001</v>
      </c>
      <c r="L23" s="4">
        <v>24300</v>
      </c>
      <c r="M23" s="4">
        <v>30137.200000000001</v>
      </c>
      <c r="N23" s="4">
        <f t="shared" si="0"/>
        <v>633657</v>
      </c>
      <c r="O23" s="4">
        <f t="shared" si="1"/>
        <v>707910</v>
      </c>
      <c r="P23" s="4">
        <f t="shared" si="2"/>
        <v>389350.50000000006</v>
      </c>
      <c r="Q23" s="40">
        <f t="shared" si="3"/>
        <v>75.625</v>
      </c>
      <c r="R23" s="31">
        <f t="shared" si="3"/>
        <v>59.393939393939398</v>
      </c>
    </row>
    <row r="24" spans="1:18" x14ac:dyDescent="0.25">
      <c r="A24" s="7">
        <v>22</v>
      </c>
      <c r="B24" s="5" t="s">
        <v>122</v>
      </c>
      <c r="C24" s="2" t="s">
        <v>21</v>
      </c>
      <c r="D24" s="2">
        <v>423200</v>
      </c>
      <c r="E24" s="2">
        <v>306800</v>
      </c>
      <c r="F24" s="2">
        <v>4585</v>
      </c>
      <c r="G24" s="2">
        <v>80560</v>
      </c>
      <c r="H24" s="2">
        <v>589119.4</v>
      </c>
      <c r="I24" s="2">
        <v>84239.8</v>
      </c>
      <c r="J24" s="2">
        <v>50476</v>
      </c>
      <c r="K24" s="2">
        <v>29669.9</v>
      </c>
      <c r="L24" s="4">
        <v>22200</v>
      </c>
      <c r="M24" s="4">
        <v>30269.9</v>
      </c>
      <c r="N24" s="4">
        <f t="shared" si="0"/>
        <v>652739</v>
      </c>
      <c r="O24" s="4">
        <f t="shared" si="1"/>
        <v>725415</v>
      </c>
      <c r="P24" s="4">
        <f t="shared" si="2"/>
        <v>398978.25000000006</v>
      </c>
      <c r="Q24" s="40">
        <f t="shared" si="3"/>
        <v>80.151515151515156</v>
      </c>
      <c r="R24" s="31">
        <f t="shared" si="3"/>
        <v>58.106060606060609</v>
      </c>
    </row>
    <row r="25" spans="1:18" x14ac:dyDescent="0.25">
      <c r="A25" s="7">
        <v>23</v>
      </c>
      <c r="B25" s="5" t="s">
        <v>123</v>
      </c>
      <c r="C25" s="2" t="s">
        <v>21</v>
      </c>
      <c r="D25" s="2">
        <v>130800</v>
      </c>
      <c r="E25" s="2">
        <v>311200</v>
      </c>
      <c r="F25" s="2">
        <v>240</v>
      </c>
      <c r="G25" s="2">
        <v>284195</v>
      </c>
      <c r="H25" s="2">
        <v>541393.80000000005</v>
      </c>
      <c r="I25" s="2">
        <v>81564.600000000006</v>
      </c>
      <c r="J25" s="2">
        <v>23932</v>
      </c>
      <c r="K25" s="2">
        <v>29982.3</v>
      </c>
      <c r="L25" s="4">
        <v>19100</v>
      </c>
      <c r="M25" s="4">
        <v>29982.3</v>
      </c>
      <c r="N25" s="4">
        <f t="shared" si="0"/>
        <v>398728</v>
      </c>
      <c r="O25" s="4">
        <f t="shared" si="1"/>
        <v>441760</v>
      </c>
      <c r="P25" s="4">
        <f t="shared" si="2"/>
        <v>242968.00000000003</v>
      </c>
      <c r="Q25" s="40">
        <f t="shared" si="3"/>
        <v>24.772727272727273</v>
      </c>
      <c r="R25" s="31">
        <f t="shared" si="3"/>
        <v>58.939393939393938</v>
      </c>
    </row>
    <row r="26" spans="1:18" x14ac:dyDescent="0.25">
      <c r="A26" s="7">
        <v>24</v>
      </c>
      <c r="B26" s="5" t="s">
        <v>124</v>
      </c>
      <c r="C26" s="2" t="s">
        <v>21</v>
      </c>
      <c r="D26" s="2">
        <v>112900</v>
      </c>
      <c r="E26" s="2">
        <v>310500</v>
      </c>
      <c r="F26" s="2">
        <v>0</v>
      </c>
      <c r="G26" s="2">
        <v>317080</v>
      </c>
      <c r="H26" s="2">
        <v>551735.80000000005</v>
      </c>
      <c r="I26" s="2">
        <v>87178.6</v>
      </c>
      <c r="J26" s="2">
        <v>18487</v>
      </c>
      <c r="K26" s="2">
        <v>33589.300000000003</v>
      </c>
      <c r="L26" s="4">
        <v>19500</v>
      </c>
      <c r="M26" s="4">
        <v>29989.3</v>
      </c>
      <c r="N26" s="4">
        <f t="shared" si="0"/>
        <v>385413</v>
      </c>
      <c r="O26" s="4">
        <f t="shared" si="1"/>
        <v>423400</v>
      </c>
      <c r="P26" s="4">
        <f t="shared" si="2"/>
        <v>232870.00000000003</v>
      </c>
      <c r="Q26" s="40">
        <f t="shared" si="3"/>
        <v>21.382575757575758</v>
      </c>
      <c r="R26" s="31">
        <f t="shared" si="3"/>
        <v>58.80681818181818</v>
      </c>
    </row>
    <row r="27" spans="1:18" x14ac:dyDescent="0.25">
      <c r="A27" s="7">
        <v>25</v>
      </c>
      <c r="B27" s="5" t="s">
        <v>125</v>
      </c>
      <c r="C27" s="2" t="s">
        <v>21</v>
      </c>
      <c r="D27" s="2">
        <v>342100</v>
      </c>
      <c r="E27" s="2">
        <v>165700</v>
      </c>
      <c r="F27" s="2">
        <v>860</v>
      </c>
      <c r="G27" s="2">
        <v>250495</v>
      </c>
      <c r="H27" s="2">
        <v>552184.80000000005</v>
      </c>
      <c r="I27" s="2">
        <v>86761.600000000006</v>
      </c>
      <c r="J27" s="2">
        <v>41827</v>
      </c>
      <c r="K27" s="2">
        <v>34080.800000000003</v>
      </c>
      <c r="L27" s="4">
        <v>14600</v>
      </c>
      <c r="M27" s="4">
        <v>27980.799999999999</v>
      </c>
      <c r="N27" s="4">
        <f t="shared" si="0"/>
        <v>450513</v>
      </c>
      <c r="O27" s="4">
        <f t="shared" si="1"/>
        <v>506940</v>
      </c>
      <c r="P27" s="4">
        <f t="shared" si="2"/>
        <v>278817</v>
      </c>
      <c r="Q27" s="40">
        <f t="shared" si="3"/>
        <v>64.791666666666671</v>
      </c>
      <c r="R27" s="31">
        <f t="shared" si="3"/>
        <v>31.382575757575758</v>
      </c>
    </row>
    <row r="28" spans="1:18" x14ac:dyDescent="0.25">
      <c r="A28" s="7">
        <v>26</v>
      </c>
      <c r="B28" s="5" t="s">
        <v>126</v>
      </c>
      <c r="C28" s="2" t="s">
        <v>21</v>
      </c>
      <c r="D28" s="2">
        <v>444400</v>
      </c>
      <c r="E28" s="2">
        <v>0</v>
      </c>
      <c r="F28" s="2">
        <v>40</v>
      </c>
      <c r="G28" s="2">
        <v>273265</v>
      </c>
      <c r="H28" s="2">
        <v>542558.80000000005</v>
      </c>
      <c r="I28" s="2">
        <v>69419.600000000006</v>
      </c>
      <c r="J28" s="2">
        <v>51427</v>
      </c>
      <c r="K28" s="2">
        <v>33959.800000000003</v>
      </c>
      <c r="L28" s="4">
        <v>5500</v>
      </c>
      <c r="M28" s="4">
        <v>14759.8</v>
      </c>
      <c r="N28" s="4">
        <f t="shared" si="0"/>
        <v>387433</v>
      </c>
      <c r="O28" s="4">
        <f t="shared" si="1"/>
        <v>444360</v>
      </c>
      <c r="P28" s="4">
        <f t="shared" si="2"/>
        <v>244398.00000000003</v>
      </c>
      <c r="Q28" s="40">
        <f t="shared" si="3"/>
        <v>84.166666666666671</v>
      </c>
      <c r="R28" s="31">
        <f t="shared" si="3"/>
        <v>0</v>
      </c>
    </row>
    <row r="29" spans="1:18" x14ac:dyDescent="0.25">
      <c r="A29" s="7">
        <v>27</v>
      </c>
      <c r="B29" s="5" t="s">
        <v>127</v>
      </c>
      <c r="C29" s="2" t="s">
        <v>21</v>
      </c>
      <c r="D29" s="2">
        <v>419900</v>
      </c>
      <c r="E29" s="2">
        <v>0</v>
      </c>
      <c r="F29" s="2">
        <v>5</v>
      </c>
      <c r="G29" s="2">
        <v>296720</v>
      </c>
      <c r="H29" s="2">
        <v>543145.6</v>
      </c>
      <c r="I29" s="2">
        <v>79915.199999999997</v>
      </c>
      <c r="J29" s="2">
        <v>50639</v>
      </c>
      <c r="K29" s="2">
        <v>32307.599999999999</v>
      </c>
      <c r="L29" s="4">
        <v>4100</v>
      </c>
      <c r="M29" s="4">
        <v>6507.6</v>
      </c>
      <c r="N29" s="4">
        <f t="shared" si="0"/>
        <v>365156</v>
      </c>
      <c r="O29" s="4">
        <f t="shared" si="1"/>
        <v>419895</v>
      </c>
      <c r="P29" s="4">
        <f t="shared" si="2"/>
        <v>230942.25000000003</v>
      </c>
      <c r="Q29" s="40">
        <f t="shared" si="3"/>
        <v>79.526515151515156</v>
      </c>
      <c r="R29" s="31">
        <f t="shared" si="3"/>
        <v>0</v>
      </c>
    </row>
    <row r="30" spans="1:18" x14ac:dyDescent="0.25">
      <c r="A30" s="7">
        <v>28</v>
      </c>
      <c r="B30" s="34" t="s">
        <v>128</v>
      </c>
      <c r="C30" s="33" t="s">
        <v>21</v>
      </c>
      <c r="D30" s="33">
        <v>425700</v>
      </c>
      <c r="E30" s="33">
        <v>0</v>
      </c>
      <c r="F30" s="33">
        <v>150</v>
      </c>
      <c r="G30" s="33">
        <v>302255</v>
      </c>
      <c r="H30" s="33">
        <v>544893</v>
      </c>
      <c r="I30" s="33">
        <v>92331</v>
      </c>
      <c r="J30" s="33">
        <v>50350</v>
      </c>
      <c r="K30" s="33">
        <v>31265.5</v>
      </c>
      <c r="L30" s="35">
        <v>4000</v>
      </c>
      <c r="M30" s="36">
        <v>4965.5</v>
      </c>
      <c r="N30" s="4">
        <f t="shared" si="0"/>
        <v>371200</v>
      </c>
      <c r="O30" s="4">
        <f t="shared" si="1"/>
        <v>425550</v>
      </c>
      <c r="P30" s="4">
        <f t="shared" si="2"/>
        <v>234052.50000000003</v>
      </c>
      <c r="Q30" s="41">
        <f t="shared" si="3"/>
        <v>80.625</v>
      </c>
      <c r="R30" s="38">
        <f t="shared" si="3"/>
        <v>0</v>
      </c>
    </row>
    <row r="31" spans="1:18" x14ac:dyDescent="0.25">
      <c r="A31" s="7">
        <v>29</v>
      </c>
      <c r="B31" s="5" t="s">
        <v>129</v>
      </c>
      <c r="C31" s="2" t="s">
        <v>21</v>
      </c>
      <c r="D31" s="2">
        <v>407500</v>
      </c>
      <c r="E31" s="2">
        <v>0</v>
      </c>
      <c r="F31" s="2">
        <v>27600</v>
      </c>
      <c r="G31" s="2">
        <v>209190</v>
      </c>
      <c r="H31" s="2">
        <v>442050.6</v>
      </c>
      <c r="I31" s="2">
        <v>58450.2</v>
      </c>
      <c r="J31" s="2">
        <v>49239</v>
      </c>
      <c r="K31" s="2">
        <v>30025.1</v>
      </c>
      <c r="L31" s="4">
        <v>3500</v>
      </c>
      <c r="M31" s="4">
        <v>5825.1</v>
      </c>
      <c r="N31" s="4">
        <f t="shared" si="0"/>
        <v>327161</v>
      </c>
      <c r="O31" s="4">
        <f t="shared" si="1"/>
        <v>379900</v>
      </c>
      <c r="P31" s="4">
        <f t="shared" si="2"/>
        <v>208945.00000000003</v>
      </c>
      <c r="Q31" s="40">
        <f>(D31/528000)*100</f>
        <v>77.178030303030297</v>
      </c>
      <c r="R31" s="31">
        <f t="shared" ref="R31:R33" si="4">(E31/528000)*100</f>
        <v>0</v>
      </c>
    </row>
    <row r="32" spans="1:18" x14ac:dyDescent="0.25">
      <c r="A32" s="7">
        <v>30</v>
      </c>
      <c r="B32" s="5" t="s">
        <v>130</v>
      </c>
      <c r="C32" s="2" t="s">
        <v>21</v>
      </c>
      <c r="D32" s="2">
        <v>408600</v>
      </c>
      <c r="E32" s="2">
        <v>0</v>
      </c>
      <c r="F32" s="2">
        <v>210</v>
      </c>
      <c r="G32" s="2">
        <v>261070</v>
      </c>
      <c r="H32" s="2">
        <v>499813</v>
      </c>
      <c r="I32" s="2">
        <v>81941</v>
      </c>
      <c r="J32" s="2">
        <v>50265</v>
      </c>
      <c r="K32" s="2">
        <v>29520.5</v>
      </c>
      <c r="L32" s="4">
        <v>3100</v>
      </c>
      <c r="M32" s="4">
        <v>4820.5</v>
      </c>
      <c r="N32" s="4">
        <f t="shared" si="0"/>
        <v>355025</v>
      </c>
      <c r="O32" s="4">
        <f t="shared" si="1"/>
        <v>408390</v>
      </c>
      <c r="P32" s="4">
        <f t="shared" si="2"/>
        <v>224614.50000000003</v>
      </c>
      <c r="Q32" s="40">
        <f>(D32/528000)*100</f>
        <v>77.386363636363626</v>
      </c>
      <c r="R32" s="31">
        <f t="shared" si="4"/>
        <v>0</v>
      </c>
    </row>
    <row r="33" spans="1:18" x14ac:dyDescent="0.25">
      <c r="A33" s="7">
        <v>31</v>
      </c>
      <c r="B33" s="5" t="s">
        <v>131</v>
      </c>
      <c r="C33" s="2" t="s">
        <v>21</v>
      </c>
      <c r="D33" s="2"/>
      <c r="E33" s="2"/>
      <c r="F33" s="2"/>
      <c r="G33" s="2"/>
      <c r="H33" s="2"/>
      <c r="I33" s="2"/>
      <c r="J33" s="2"/>
      <c r="K33" s="2"/>
      <c r="L33" s="4"/>
      <c r="M33" s="4"/>
      <c r="N33" s="4">
        <f t="shared" si="0"/>
        <v>0</v>
      </c>
      <c r="O33" s="4">
        <f t="shared" si="1"/>
        <v>0</v>
      </c>
      <c r="P33" s="4">
        <f t="shared" si="2"/>
        <v>0</v>
      </c>
      <c r="Q33" s="40">
        <f>(D33/528000)*100</f>
        <v>0</v>
      </c>
      <c r="R33" s="31">
        <f t="shared" si="4"/>
        <v>0</v>
      </c>
    </row>
    <row r="34" spans="1:18" x14ac:dyDescent="0.25">
      <c r="A34" s="68"/>
      <c r="B34" s="69"/>
      <c r="C34" s="8" t="s">
        <v>15</v>
      </c>
      <c r="D34" s="8">
        <f t="shared" ref="D34:M34" si="5">SUM(D3:D33)</f>
        <v>11187300</v>
      </c>
      <c r="E34" s="8">
        <f t="shared" si="5"/>
        <v>8644400</v>
      </c>
      <c r="F34" s="8">
        <f t="shared" si="5"/>
        <v>944730</v>
      </c>
      <c r="G34" s="8">
        <f t="shared" si="5"/>
        <v>3058895</v>
      </c>
      <c r="H34" s="8">
        <f t="shared" si="5"/>
        <v>15645424.200000001</v>
      </c>
      <c r="I34" s="23">
        <f t="shared" si="5"/>
        <v>2489311.4000000004</v>
      </c>
      <c r="J34" s="8">
        <f t="shared" si="5"/>
        <v>1412118</v>
      </c>
      <c r="K34" s="8">
        <f t="shared" si="5"/>
        <v>906155.7</v>
      </c>
      <c r="L34" s="8">
        <f t="shared" si="5"/>
        <v>647700</v>
      </c>
      <c r="M34" s="8">
        <f t="shared" si="5"/>
        <v>845155.70000000007</v>
      </c>
      <c r="N34" s="16">
        <f t="shared" si="0"/>
        <v>16827152</v>
      </c>
      <c r="O34" s="16">
        <f t="shared" si="1"/>
        <v>18886970</v>
      </c>
      <c r="P34" s="16">
        <f t="shared" si="2"/>
        <v>10387833.5</v>
      </c>
      <c r="Q34" s="47">
        <f>SUM(Q3:Q33)/30</f>
        <v>70.626893939393966</v>
      </c>
      <c r="R34" s="13">
        <f>SUM(R3:R33)/30</f>
        <v>54.573232323232325</v>
      </c>
    </row>
    <row r="35" spans="1:18" x14ac:dyDescent="0.25">
      <c r="A35" s="70"/>
      <c r="B35" s="71"/>
      <c r="C35" s="8" t="s">
        <v>16</v>
      </c>
      <c r="D35" s="2">
        <v>11187300</v>
      </c>
      <c r="E35" s="2"/>
      <c r="F35" s="2">
        <v>961200</v>
      </c>
      <c r="G35" s="2">
        <v>3029760</v>
      </c>
      <c r="H35" s="2"/>
      <c r="I35" s="2"/>
      <c r="J35" s="2"/>
      <c r="K35" s="2"/>
      <c r="L35" s="2"/>
      <c r="M35" s="2"/>
      <c r="N35" s="2"/>
      <c r="O35" s="2"/>
      <c r="P35" s="2"/>
      <c r="Q35" s="44"/>
      <c r="R35" s="2"/>
    </row>
    <row r="36" spans="1:18" x14ac:dyDescent="0.25">
      <c r="A36" s="70"/>
      <c r="B36" s="71"/>
      <c r="C36" s="8" t="s">
        <v>17</v>
      </c>
      <c r="D36" s="2">
        <f>D34-D35</f>
        <v>0</v>
      </c>
      <c r="E36" s="2"/>
      <c r="F36" s="2"/>
      <c r="G36" s="2"/>
      <c r="H36" s="63">
        <v>-45605</v>
      </c>
      <c r="I36" s="64"/>
      <c r="J36" s="64"/>
      <c r="K36" s="64"/>
      <c r="L36" s="64"/>
      <c r="M36" s="65"/>
      <c r="N36" s="2"/>
      <c r="O36" s="2"/>
      <c r="P36" s="2"/>
      <c r="Q36" s="2"/>
      <c r="R36" s="4"/>
    </row>
    <row r="37" spans="1:18" x14ac:dyDescent="0.25">
      <c r="A37" s="70"/>
      <c r="B37" s="71"/>
      <c r="C37" s="8" t="s">
        <v>18</v>
      </c>
      <c r="D37" s="2"/>
      <c r="E37" s="2"/>
      <c r="F37" s="2"/>
      <c r="G37" s="2"/>
      <c r="H37" s="2">
        <v>15622621.5</v>
      </c>
      <c r="I37" s="2">
        <v>2480190.4</v>
      </c>
      <c r="J37" s="2"/>
      <c r="K37" s="2">
        <v>899314.95</v>
      </c>
      <c r="L37" s="2"/>
      <c r="M37" s="50">
        <v>838314.95</v>
      </c>
      <c r="N37" s="2"/>
      <c r="O37" s="2"/>
      <c r="P37" s="2"/>
      <c r="Q37" s="2"/>
      <c r="R37" s="2"/>
    </row>
    <row r="38" spans="1:18" x14ac:dyDescent="0.25">
      <c r="A38" s="70"/>
      <c r="B38" s="71"/>
      <c r="C38" s="8" t="s">
        <v>19</v>
      </c>
      <c r="D38" s="2">
        <v>713885.1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 x14ac:dyDescent="0.25">
      <c r="A39" s="72"/>
      <c r="B39" s="73"/>
      <c r="C39" s="8" t="s">
        <v>20</v>
      </c>
      <c r="D39" s="2">
        <v>725072.4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 x14ac:dyDescent="0.25">
      <c r="A40" s="1"/>
      <c r="B40" s="1"/>
      <c r="C40" s="1"/>
      <c r="D40" s="1">
        <f>D39-D38</f>
        <v>11187.300000000047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2" spans="1:18" x14ac:dyDescent="0.25">
      <c r="I42" s="51"/>
    </row>
    <row r="43" spans="1:18" x14ac:dyDescent="0.25">
      <c r="H43" s="48"/>
      <c r="I43" s="48"/>
    </row>
    <row r="44" spans="1:18" x14ac:dyDescent="0.25">
      <c r="H44" s="48"/>
    </row>
  </sheetData>
  <mergeCells count="3">
    <mergeCell ref="A1:R1"/>
    <mergeCell ref="H36:M36"/>
    <mergeCell ref="A34:B39"/>
  </mergeCells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49"/>
  <sheetViews>
    <sheetView topLeftCell="A10" zoomScaleNormal="100" workbookViewId="0">
      <selection activeCell="H37" sqref="H37"/>
    </sheetView>
  </sheetViews>
  <sheetFormatPr defaultRowHeight="15" x14ac:dyDescent="0.25"/>
  <cols>
    <col min="1" max="1" width="5.5703125" bestFit="1" customWidth="1"/>
    <col min="2" max="2" width="10.140625" customWidth="1"/>
    <col min="3" max="3" width="18" customWidth="1"/>
    <col min="4" max="5" width="10.42578125" customWidth="1"/>
    <col min="6" max="6" width="8.85546875" customWidth="1"/>
    <col min="7" max="7" width="11.42578125" customWidth="1"/>
    <col min="8" max="8" width="12.7109375" customWidth="1"/>
    <col min="9" max="9" width="13.140625" customWidth="1"/>
    <col min="10" max="11" width="9.85546875" customWidth="1"/>
    <col min="12" max="12" width="11.140625" customWidth="1"/>
    <col min="13" max="13" width="9.7109375" customWidth="1"/>
    <col min="14" max="14" width="8.7109375" customWidth="1"/>
    <col min="15" max="15" width="13" customWidth="1"/>
    <col min="16" max="16" width="11.5703125" bestFit="1" customWidth="1"/>
    <col min="17" max="17" width="7.42578125" customWidth="1"/>
    <col min="18" max="18" width="9" customWidth="1"/>
  </cols>
  <sheetData>
    <row r="1" spans="1:18" ht="40.5" customHeight="1" thickBot="1" x14ac:dyDescent="0.3">
      <c r="A1" s="66" t="s">
        <v>98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</row>
    <row r="2" spans="1:18" ht="51.75" customHeight="1" thickBot="1" x14ac:dyDescent="0.3">
      <c r="A2" s="9" t="s">
        <v>0</v>
      </c>
      <c r="B2" s="10" t="s">
        <v>1</v>
      </c>
      <c r="C2" s="10" t="s">
        <v>2</v>
      </c>
      <c r="D2" s="21" t="s">
        <v>56</v>
      </c>
      <c r="E2" s="21" t="s">
        <v>57</v>
      </c>
      <c r="F2" s="21" t="s">
        <v>4</v>
      </c>
      <c r="G2" s="21" t="s">
        <v>5</v>
      </c>
      <c r="H2" s="21" t="s">
        <v>6</v>
      </c>
      <c r="I2" s="21" t="s">
        <v>7</v>
      </c>
      <c r="J2" s="21" t="s">
        <v>64</v>
      </c>
      <c r="K2" s="21" t="s">
        <v>66</v>
      </c>
      <c r="L2" s="21" t="s">
        <v>65</v>
      </c>
      <c r="M2" s="21" t="s">
        <v>67</v>
      </c>
      <c r="N2" s="21" t="s">
        <v>10</v>
      </c>
      <c r="O2" s="21" t="s">
        <v>11</v>
      </c>
      <c r="P2" s="10" t="s">
        <v>12</v>
      </c>
      <c r="Q2" s="29" t="s">
        <v>54</v>
      </c>
      <c r="R2" s="30" t="s">
        <v>55</v>
      </c>
    </row>
    <row r="3" spans="1:18" x14ac:dyDescent="0.25">
      <c r="A3" s="6">
        <v>1</v>
      </c>
      <c r="B3" s="5">
        <v>45931</v>
      </c>
      <c r="C3" s="4" t="s">
        <v>21</v>
      </c>
      <c r="D3" s="4">
        <v>332600</v>
      </c>
      <c r="E3" s="4">
        <v>325600</v>
      </c>
      <c r="F3" s="4">
        <v>53220</v>
      </c>
      <c r="G3" s="4">
        <v>20760</v>
      </c>
      <c r="H3" s="4">
        <v>413473.8</v>
      </c>
      <c r="I3" s="4">
        <v>71824.600000000006</v>
      </c>
      <c r="J3" s="4">
        <v>48417</v>
      </c>
      <c r="K3" s="4">
        <v>31512.3</v>
      </c>
      <c r="L3" s="4">
        <v>28300</v>
      </c>
      <c r="M3" s="4">
        <v>32212.3</v>
      </c>
      <c r="N3" s="4">
        <f>(D3+E3)-F3-J3-L3</f>
        <v>528263</v>
      </c>
      <c r="O3" s="4">
        <f>(D3+E3)-F3</f>
        <v>604980</v>
      </c>
      <c r="P3" s="4">
        <f>O3*0.55</f>
        <v>332739</v>
      </c>
      <c r="Q3" s="40">
        <f>(D3/528000)*100</f>
        <v>62.992424242424235</v>
      </c>
      <c r="R3" s="31">
        <f>(E3/528000)*100</f>
        <v>61.666666666666671</v>
      </c>
    </row>
    <row r="4" spans="1:18" x14ac:dyDescent="0.25">
      <c r="A4" s="7">
        <v>2</v>
      </c>
      <c r="B4" s="5">
        <v>45932</v>
      </c>
      <c r="C4" s="2" t="s">
        <v>21</v>
      </c>
      <c r="D4" s="2">
        <v>376600</v>
      </c>
      <c r="E4" s="2">
        <v>346800</v>
      </c>
      <c r="F4" s="2">
        <v>45650</v>
      </c>
      <c r="G4" s="2">
        <v>21650</v>
      </c>
      <c r="H4" s="2">
        <v>465751</v>
      </c>
      <c r="I4" s="2">
        <v>90117</v>
      </c>
      <c r="J4" s="2">
        <v>51915</v>
      </c>
      <c r="K4" s="2">
        <v>31508.5</v>
      </c>
      <c r="L4" s="4">
        <v>27900</v>
      </c>
      <c r="M4" s="4">
        <v>32208.5</v>
      </c>
      <c r="N4" s="4">
        <f t="shared" ref="N4:N33" si="0">(D4+E4)-F4-J4-L4</f>
        <v>597935</v>
      </c>
      <c r="O4" s="4">
        <f t="shared" ref="O4:O33" si="1">(D4+E4)-F4</f>
        <v>677750</v>
      </c>
      <c r="P4" s="4">
        <f t="shared" ref="P4:P33" si="2">O4*0.55</f>
        <v>372762.50000000006</v>
      </c>
      <c r="Q4" s="40">
        <f>(D4/528000)*100</f>
        <v>71.325757575757578</v>
      </c>
      <c r="R4" s="31">
        <f>(E4/528000)*100</f>
        <v>65.681818181818187</v>
      </c>
    </row>
    <row r="5" spans="1:18" x14ac:dyDescent="0.25">
      <c r="A5" s="7">
        <v>3</v>
      </c>
      <c r="B5" s="5">
        <v>45933</v>
      </c>
      <c r="C5" s="2" t="s">
        <v>21</v>
      </c>
      <c r="D5" s="2">
        <v>373900</v>
      </c>
      <c r="E5" s="2">
        <v>357300</v>
      </c>
      <c r="F5" s="2">
        <v>70310</v>
      </c>
      <c r="G5" s="2">
        <v>8445</v>
      </c>
      <c r="H5" s="2">
        <v>448630.6</v>
      </c>
      <c r="I5" s="2">
        <v>74910.2</v>
      </c>
      <c r="J5" s="2">
        <v>51484</v>
      </c>
      <c r="K5" s="2">
        <v>33255.1</v>
      </c>
      <c r="L5" s="4">
        <v>28000</v>
      </c>
      <c r="M5" s="4">
        <v>33055.1</v>
      </c>
      <c r="N5" s="4">
        <f t="shared" si="0"/>
        <v>581406</v>
      </c>
      <c r="O5" s="4">
        <f t="shared" si="1"/>
        <v>660890</v>
      </c>
      <c r="P5" s="4">
        <f t="shared" si="2"/>
        <v>363489.50000000006</v>
      </c>
      <c r="Q5" s="40">
        <f t="shared" ref="Q5:R30" si="3">(D5/528000)*100</f>
        <v>70.814393939393938</v>
      </c>
      <c r="R5" s="31">
        <f t="shared" si="3"/>
        <v>67.670454545454547</v>
      </c>
    </row>
    <row r="6" spans="1:18" x14ac:dyDescent="0.25">
      <c r="A6" s="7">
        <v>4</v>
      </c>
      <c r="B6" s="5">
        <v>45934</v>
      </c>
      <c r="C6" s="2" t="s">
        <v>21</v>
      </c>
      <c r="D6" s="2">
        <v>382400</v>
      </c>
      <c r="E6" s="2">
        <v>364700</v>
      </c>
      <c r="F6" s="2">
        <v>54420</v>
      </c>
      <c r="G6" s="2">
        <v>15615</v>
      </c>
      <c r="H6" s="2">
        <v>485426</v>
      </c>
      <c r="I6" s="2">
        <v>72742</v>
      </c>
      <c r="J6" s="2">
        <v>50985</v>
      </c>
      <c r="K6" s="2">
        <v>35671</v>
      </c>
      <c r="L6" s="4">
        <v>29800</v>
      </c>
      <c r="M6" s="4">
        <v>33671</v>
      </c>
      <c r="N6" s="4">
        <f t="shared" si="0"/>
        <v>611895</v>
      </c>
      <c r="O6" s="4">
        <f t="shared" si="1"/>
        <v>692680</v>
      </c>
      <c r="P6" s="4">
        <f t="shared" si="2"/>
        <v>380974.00000000006</v>
      </c>
      <c r="Q6" s="40">
        <f t="shared" si="3"/>
        <v>72.424242424242422</v>
      </c>
      <c r="R6" s="31">
        <f t="shared" si="3"/>
        <v>69.071969696969688</v>
      </c>
    </row>
    <row r="7" spans="1:18" x14ac:dyDescent="0.25">
      <c r="A7" s="7">
        <v>5</v>
      </c>
      <c r="B7" s="5">
        <v>45935</v>
      </c>
      <c r="C7" s="2" t="s">
        <v>21</v>
      </c>
      <c r="D7" s="2">
        <v>389900</v>
      </c>
      <c r="E7" s="2">
        <v>358700</v>
      </c>
      <c r="F7" s="2">
        <v>50885</v>
      </c>
      <c r="G7" s="2">
        <v>17855</v>
      </c>
      <c r="H7" s="2">
        <v>490823.2</v>
      </c>
      <c r="I7" s="2">
        <v>77374.399999999994</v>
      </c>
      <c r="J7" s="2">
        <v>50198</v>
      </c>
      <c r="K7" s="2">
        <v>36187.199999999997</v>
      </c>
      <c r="L7" s="4">
        <v>27400</v>
      </c>
      <c r="M7" s="4">
        <v>33587.199999999997</v>
      </c>
      <c r="N7" s="4">
        <f t="shared" si="0"/>
        <v>620117</v>
      </c>
      <c r="O7" s="4">
        <f t="shared" si="1"/>
        <v>697715</v>
      </c>
      <c r="P7" s="4">
        <f t="shared" si="2"/>
        <v>383743.25000000006</v>
      </c>
      <c r="Q7" s="40">
        <f t="shared" si="3"/>
        <v>73.844696969696969</v>
      </c>
      <c r="R7" s="31">
        <f t="shared" si="3"/>
        <v>67.935606060606062</v>
      </c>
    </row>
    <row r="8" spans="1:18" x14ac:dyDescent="0.25">
      <c r="A8" s="7">
        <v>6</v>
      </c>
      <c r="B8" s="5">
        <v>45936</v>
      </c>
      <c r="C8" s="2" t="s">
        <v>21</v>
      </c>
      <c r="D8" s="2">
        <v>343200</v>
      </c>
      <c r="E8" s="2">
        <v>373200</v>
      </c>
      <c r="F8" s="2">
        <v>111655</v>
      </c>
      <c r="G8" s="2">
        <v>1530</v>
      </c>
      <c r="H8" s="2">
        <v>410331</v>
      </c>
      <c r="I8" s="2">
        <v>51877</v>
      </c>
      <c r="J8" s="2">
        <v>44690</v>
      </c>
      <c r="K8" s="2">
        <v>36588.5</v>
      </c>
      <c r="L8" s="4">
        <v>28900</v>
      </c>
      <c r="M8" s="4">
        <v>33888.5</v>
      </c>
      <c r="N8" s="4">
        <f t="shared" si="0"/>
        <v>531155</v>
      </c>
      <c r="O8" s="4">
        <f t="shared" si="1"/>
        <v>604745</v>
      </c>
      <c r="P8" s="4">
        <f t="shared" si="2"/>
        <v>332609.75</v>
      </c>
      <c r="Q8" s="40">
        <f t="shared" si="3"/>
        <v>65</v>
      </c>
      <c r="R8" s="31">
        <f t="shared" si="3"/>
        <v>70.681818181818173</v>
      </c>
    </row>
    <row r="9" spans="1:18" x14ac:dyDescent="0.25">
      <c r="A9" s="7">
        <v>7</v>
      </c>
      <c r="B9" s="5">
        <v>45937</v>
      </c>
      <c r="C9" s="2" t="s">
        <v>21</v>
      </c>
      <c r="D9" s="2">
        <v>367400</v>
      </c>
      <c r="E9" s="2">
        <v>367100</v>
      </c>
      <c r="F9" s="2">
        <v>53165</v>
      </c>
      <c r="G9" s="2">
        <v>16825</v>
      </c>
      <c r="H9" s="2">
        <v>487437.4</v>
      </c>
      <c r="I9" s="2">
        <v>67545.8</v>
      </c>
      <c r="J9" s="2">
        <v>46331</v>
      </c>
      <c r="K9" s="2">
        <v>36172.9</v>
      </c>
      <c r="L9" s="4">
        <v>28100</v>
      </c>
      <c r="M9" s="4">
        <v>32572.9</v>
      </c>
      <c r="N9" s="4">
        <f t="shared" si="0"/>
        <v>606904</v>
      </c>
      <c r="O9" s="4">
        <f t="shared" si="1"/>
        <v>681335</v>
      </c>
      <c r="P9" s="4">
        <f t="shared" si="2"/>
        <v>374734.25000000006</v>
      </c>
      <c r="Q9" s="40">
        <f t="shared" si="3"/>
        <v>69.583333333333329</v>
      </c>
      <c r="R9" s="31">
        <f t="shared" si="3"/>
        <v>69.526515151515156</v>
      </c>
    </row>
    <row r="10" spans="1:18" x14ac:dyDescent="0.25">
      <c r="A10" s="7">
        <v>8</v>
      </c>
      <c r="B10" s="5">
        <v>45938</v>
      </c>
      <c r="C10" s="2" t="s">
        <v>21</v>
      </c>
      <c r="D10" s="2">
        <v>398100</v>
      </c>
      <c r="E10" s="2">
        <v>356200</v>
      </c>
      <c r="F10" s="2">
        <v>46010</v>
      </c>
      <c r="G10" s="2">
        <v>21160</v>
      </c>
      <c r="H10" s="2">
        <v>500562.2</v>
      </c>
      <c r="I10" s="2">
        <v>81487.399999999994</v>
      </c>
      <c r="J10" s="2">
        <v>51713</v>
      </c>
      <c r="K10" s="2">
        <v>34993.699999999997</v>
      </c>
      <c r="L10" s="4">
        <v>28800</v>
      </c>
      <c r="M10" s="4">
        <v>31893.7</v>
      </c>
      <c r="N10" s="4">
        <f t="shared" si="0"/>
        <v>627777</v>
      </c>
      <c r="O10" s="4">
        <f t="shared" si="1"/>
        <v>708290</v>
      </c>
      <c r="P10" s="4">
        <f t="shared" si="2"/>
        <v>389559.50000000006</v>
      </c>
      <c r="Q10" s="40">
        <f t="shared" si="3"/>
        <v>75.39772727272728</v>
      </c>
      <c r="R10" s="31">
        <f t="shared" si="3"/>
        <v>67.462121212121204</v>
      </c>
    </row>
    <row r="11" spans="1:18" x14ac:dyDescent="0.25">
      <c r="A11" s="7">
        <v>9</v>
      </c>
      <c r="B11" s="5">
        <v>45939</v>
      </c>
      <c r="C11" s="2" t="s">
        <v>21</v>
      </c>
      <c r="D11" s="2">
        <v>396600</v>
      </c>
      <c r="E11" s="2">
        <v>360900</v>
      </c>
      <c r="F11" s="2">
        <v>19760</v>
      </c>
      <c r="G11" s="2">
        <v>48840</v>
      </c>
      <c r="H11" s="2">
        <v>562193.6</v>
      </c>
      <c r="I11" s="2">
        <v>78031.199999999997</v>
      </c>
      <c r="J11" s="2">
        <v>52724</v>
      </c>
      <c r="K11" s="2">
        <v>33465.599999999999</v>
      </c>
      <c r="L11" s="4">
        <v>28900</v>
      </c>
      <c r="M11" s="4">
        <v>31265.599999999999</v>
      </c>
      <c r="N11" s="4">
        <f t="shared" si="0"/>
        <v>656116</v>
      </c>
      <c r="O11" s="4">
        <f t="shared" si="1"/>
        <v>737740</v>
      </c>
      <c r="P11" s="4">
        <f t="shared" si="2"/>
        <v>405757.00000000006</v>
      </c>
      <c r="Q11" s="40">
        <f t="shared" si="3"/>
        <v>75.11363636363636</v>
      </c>
      <c r="R11" s="31">
        <f t="shared" si="3"/>
        <v>68.35227272727272</v>
      </c>
    </row>
    <row r="12" spans="1:18" x14ac:dyDescent="0.25">
      <c r="A12" s="7">
        <v>10</v>
      </c>
      <c r="B12" s="5">
        <v>45940</v>
      </c>
      <c r="C12" s="2" t="s">
        <v>21</v>
      </c>
      <c r="D12" s="2">
        <v>391100</v>
      </c>
      <c r="E12" s="2">
        <v>356200</v>
      </c>
      <c r="F12" s="2">
        <v>16370</v>
      </c>
      <c r="G12" s="2">
        <v>55935</v>
      </c>
      <c r="H12" s="2">
        <v>561955.19999999995</v>
      </c>
      <c r="I12" s="2">
        <v>78418.399999999994</v>
      </c>
      <c r="J12" s="2">
        <v>52273</v>
      </c>
      <c r="K12" s="2">
        <v>33159.199999999997</v>
      </c>
      <c r="L12" s="4">
        <v>28500</v>
      </c>
      <c r="M12" s="4">
        <v>32559.200000000001</v>
      </c>
      <c r="N12" s="4">
        <f t="shared" si="0"/>
        <v>650157</v>
      </c>
      <c r="O12" s="4">
        <f t="shared" si="1"/>
        <v>730930</v>
      </c>
      <c r="P12" s="4">
        <f t="shared" si="2"/>
        <v>402011.50000000006</v>
      </c>
      <c r="Q12" s="40">
        <f t="shared" si="3"/>
        <v>74.071969696969703</v>
      </c>
      <c r="R12" s="31">
        <f t="shared" si="3"/>
        <v>67.462121212121204</v>
      </c>
    </row>
    <row r="13" spans="1:18" x14ac:dyDescent="0.25">
      <c r="A13" s="7">
        <v>11</v>
      </c>
      <c r="B13" s="5">
        <v>45941</v>
      </c>
      <c r="C13" s="2" t="s">
        <v>21</v>
      </c>
      <c r="D13" s="2">
        <v>364400</v>
      </c>
      <c r="E13" s="2">
        <v>360000</v>
      </c>
      <c r="F13" s="2">
        <v>13205</v>
      </c>
      <c r="G13" s="2">
        <v>61385</v>
      </c>
      <c r="H13" s="2">
        <v>555675.19999999995</v>
      </c>
      <c r="I13" s="2">
        <v>73858.399999999994</v>
      </c>
      <c r="J13" s="2">
        <v>48588</v>
      </c>
      <c r="K13" s="2">
        <v>31829.200000000001</v>
      </c>
      <c r="L13" s="4">
        <v>28500</v>
      </c>
      <c r="M13" s="4">
        <v>34129.199999999997</v>
      </c>
      <c r="N13" s="4">
        <f t="shared" si="0"/>
        <v>634107</v>
      </c>
      <c r="O13" s="4">
        <f t="shared" si="1"/>
        <v>711195</v>
      </c>
      <c r="P13" s="4">
        <f t="shared" si="2"/>
        <v>391157.25000000006</v>
      </c>
      <c r="Q13" s="40">
        <f t="shared" si="3"/>
        <v>69.015151515151516</v>
      </c>
      <c r="R13" s="31">
        <f t="shared" si="3"/>
        <v>68.181818181818173</v>
      </c>
    </row>
    <row r="14" spans="1:18" x14ac:dyDescent="0.25">
      <c r="A14" s="7">
        <v>12</v>
      </c>
      <c r="B14" s="5">
        <v>45942</v>
      </c>
      <c r="C14" s="2" t="s">
        <v>21</v>
      </c>
      <c r="D14" s="2">
        <v>396100</v>
      </c>
      <c r="E14" s="2">
        <v>350800</v>
      </c>
      <c r="F14" s="2">
        <v>16205</v>
      </c>
      <c r="G14" s="2">
        <v>47375</v>
      </c>
      <c r="H14" s="2">
        <v>559579.6</v>
      </c>
      <c r="I14" s="2">
        <v>74293.2</v>
      </c>
      <c r="J14" s="2">
        <v>51904</v>
      </c>
      <c r="K14" s="2">
        <v>29946.6</v>
      </c>
      <c r="L14" s="4">
        <v>28600</v>
      </c>
      <c r="M14" s="4">
        <v>33746.6</v>
      </c>
      <c r="N14" s="4">
        <f t="shared" si="0"/>
        <v>650191</v>
      </c>
      <c r="O14" s="4">
        <f t="shared" si="1"/>
        <v>730695</v>
      </c>
      <c r="P14" s="4">
        <f t="shared" si="2"/>
        <v>401882.25000000006</v>
      </c>
      <c r="Q14" s="40">
        <f t="shared" si="3"/>
        <v>75.018939393939405</v>
      </c>
      <c r="R14" s="31">
        <f t="shared" si="3"/>
        <v>66.439393939393938</v>
      </c>
    </row>
    <row r="15" spans="1:18" x14ac:dyDescent="0.25">
      <c r="A15" s="7">
        <v>13</v>
      </c>
      <c r="B15" s="5">
        <v>45943</v>
      </c>
      <c r="C15" s="2" t="s">
        <v>21</v>
      </c>
      <c r="D15" s="2">
        <v>410000</v>
      </c>
      <c r="E15" s="2">
        <v>373900</v>
      </c>
      <c r="F15" s="2">
        <v>19820</v>
      </c>
      <c r="G15" s="2">
        <v>48695</v>
      </c>
      <c r="H15" s="2">
        <v>581709.6</v>
      </c>
      <c r="I15" s="2">
        <v>81103.199999999997</v>
      </c>
      <c r="J15" s="2">
        <v>54359</v>
      </c>
      <c r="K15" s="2">
        <v>31151.599999999999</v>
      </c>
      <c r="L15" s="4">
        <v>29200</v>
      </c>
      <c r="M15" s="4">
        <v>35251.599999999999</v>
      </c>
      <c r="N15" s="4">
        <f t="shared" si="0"/>
        <v>680521</v>
      </c>
      <c r="O15" s="4">
        <f t="shared" si="1"/>
        <v>764080</v>
      </c>
      <c r="P15" s="4">
        <f t="shared" si="2"/>
        <v>420244.00000000006</v>
      </c>
      <c r="Q15" s="40">
        <f t="shared" si="3"/>
        <v>77.651515151515156</v>
      </c>
      <c r="R15" s="31">
        <f t="shared" si="3"/>
        <v>70.814393939393938</v>
      </c>
    </row>
    <row r="16" spans="1:18" x14ac:dyDescent="0.25">
      <c r="A16" s="7">
        <v>14</v>
      </c>
      <c r="B16" s="5">
        <v>45944</v>
      </c>
      <c r="C16" s="2" t="s">
        <v>21</v>
      </c>
      <c r="D16" s="2">
        <v>401700</v>
      </c>
      <c r="E16" s="2">
        <v>389400</v>
      </c>
      <c r="F16" s="2">
        <v>31535</v>
      </c>
      <c r="G16" s="2">
        <v>36755</v>
      </c>
      <c r="H16" s="2">
        <v>542534.80000000005</v>
      </c>
      <c r="I16" s="2">
        <v>103711.6</v>
      </c>
      <c r="J16" s="2">
        <v>53762</v>
      </c>
      <c r="K16" s="2">
        <v>31305.8</v>
      </c>
      <c r="L16" s="4">
        <v>29200</v>
      </c>
      <c r="M16" s="4">
        <v>35805.800000000003</v>
      </c>
      <c r="N16" s="4">
        <f t="shared" si="0"/>
        <v>676603</v>
      </c>
      <c r="O16" s="4">
        <f t="shared" si="1"/>
        <v>759565</v>
      </c>
      <c r="P16" s="4">
        <f t="shared" si="2"/>
        <v>417760.75000000006</v>
      </c>
      <c r="Q16" s="40">
        <f t="shared" si="3"/>
        <v>76.079545454545453</v>
      </c>
      <c r="R16" s="31">
        <f t="shared" si="3"/>
        <v>73.75</v>
      </c>
    </row>
    <row r="17" spans="1:19" x14ac:dyDescent="0.25">
      <c r="A17" s="7">
        <v>15</v>
      </c>
      <c r="B17" s="5">
        <v>45945</v>
      </c>
      <c r="C17" s="2" t="s">
        <v>21</v>
      </c>
      <c r="D17" s="2">
        <v>373700</v>
      </c>
      <c r="E17" s="2">
        <v>376600</v>
      </c>
      <c r="F17" s="2">
        <v>38060</v>
      </c>
      <c r="G17" s="2">
        <v>27985</v>
      </c>
      <c r="H17" s="2">
        <v>503757.4</v>
      </c>
      <c r="I17" s="2">
        <v>92385.8</v>
      </c>
      <c r="J17" s="2">
        <v>51696</v>
      </c>
      <c r="K17" s="2">
        <v>29142.9</v>
      </c>
      <c r="L17" s="4">
        <v>28300</v>
      </c>
      <c r="M17" s="4">
        <v>34942.9</v>
      </c>
      <c r="N17" s="4">
        <f t="shared" si="0"/>
        <v>632244</v>
      </c>
      <c r="O17" s="4">
        <f t="shared" si="1"/>
        <v>712240</v>
      </c>
      <c r="P17" s="4">
        <f t="shared" si="2"/>
        <v>391732.00000000006</v>
      </c>
      <c r="Q17" s="40">
        <f t="shared" si="3"/>
        <v>70.776515151515156</v>
      </c>
      <c r="R17" s="31">
        <f t="shared" si="3"/>
        <v>71.325757575757578</v>
      </c>
    </row>
    <row r="18" spans="1:19" x14ac:dyDescent="0.25">
      <c r="A18" s="7">
        <v>16</v>
      </c>
      <c r="B18" s="5">
        <v>45946</v>
      </c>
      <c r="C18" s="2" t="s">
        <v>21</v>
      </c>
      <c r="D18" s="2">
        <v>395600</v>
      </c>
      <c r="E18" s="2">
        <v>376700</v>
      </c>
      <c r="F18" s="2">
        <v>25240</v>
      </c>
      <c r="G18" s="2">
        <v>39535</v>
      </c>
      <c r="H18" s="2">
        <v>544526.4</v>
      </c>
      <c r="I18" s="2">
        <v>97108.800000000003</v>
      </c>
      <c r="J18" s="2">
        <v>52751</v>
      </c>
      <c r="K18" s="2">
        <v>29504.400000000001</v>
      </c>
      <c r="L18" s="4">
        <v>28300</v>
      </c>
      <c r="M18" s="4">
        <v>34404.400000000001</v>
      </c>
      <c r="N18" s="4">
        <f t="shared" si="0"/>
        <v>666009</v>
      </c>
      <c r="O18" s="4">
        <f t="shared" si="1"/>
        <v>747060</v>
      </c>
      <c r="P18" s="4">
        <f t="shared" si="2"/>
        <v>410883.00000000006</v>
      </c>
      <c r="Q18" s="40">
        <f t="shared" si="3"/>
        <v>74.924242424242422</v>
      </c>
      <c r="R18" s="31">
        <f t="shared" si="3"/>
        <v>71.344696969696969</v>
      </c>
    </row>
    <row r="19" spans="1:19" x14ac:dyDescent="0.25">
      <c r="A19" s="7">
        <v>17</v>
      </c>
      <c r="B19" s="5">
        <v>45947</v>
      </c>
      <c r="C19" s="2" t="s">
        <v>21</v>
      </c>
      <c r="D19" s="2">
        <v>389700</v>
      </c>
      <c r="E19" s="2">
        <v>390900</v>
      </c>
      <c r="F19" s="2">
        <v>18535</v>
      </c>
      <c r="G19" s="2">
        <v>46435</v>
      </c>
      <c r="H19" s="2">
        <v>566042.4</v>
      </c>
      <c r="I19" s="2">
        <v>93880.8</v>
      </c>
      <c r="J19" s="2">
        <v>52696</v>
      </c>
      <c r="K19" s="2">
        <v>30290.400000000001</v>
      </c>
      <c r="L19" s="4">
        <v>30400</v>
      </c>
      <c r="M19" s="4">
        <v>35190.400000000001</v>
      </c>
      <c r="N19" s="4">
        <f t="shared" si="0"/>
        <v>678969</v>
      </c>
      <c r="O19" s="4">
        <f t="shared" si="1"/>
        <v>762065</v>
      </c>
      <c r="P19" s="4">
        <f t="shared" si="2"/>
        <v>419135.75000000006</v>
      </c>
      <c r="Q19" s="40">
        <f t="shared" si="3"/>
        <v>73.806818181818173</v>
      </c>
      <c r="R19" s="31">
        <f t="shared" si="3"/>
        <v>74.034090909090907</v>
      </c>
    </row>
    <row r="20" spans="1:19" x14ac:dyDescent="0.25">
      <c r="A20" s="7">
        <v>18</v>
      </c>
      <c r="B20" s="5">
        <v>45948</v>
      </c>
      <c r="C20" s="2" t="s">
        <v>21</v>
      </c>
      <c r="D20" s="2">
        <v>347400</v>
      </c>
      <c r="E20" s="2">
        <v>394800</v>
      </c>
      <c r="F20" s="2">
        <v>28660</v>
      </c>
      <c r="G20" s="2">
        <v>43890</v>
      </c>
      <c r="H20" s="2">
        <v>534777</v>
      </c>
      <c r="I20" s="2">
        <v>79359</v>
      </c>
      <c r="J20" s="2">
        <v>48035</v>
      </c>
      <c r="K20" s="2">
        <v>31079.5</v>
      </c>
      <c r="L20" s="4">
        <v>28400</v>
      </c>
      <c r="M20" s="4">
        <v>35779.5</v>
      </c>
      <c r="N20" s="4">
        <f t="shared" si="0"/>
        <v>637105</v>
      </c>
      <c r="O20" s="4">
        <f t="shared" si="1"/>
        <v>713540</v>
      </c>
      <c r="P20" s="4">
        <f t="shared" si="2"/>
        <v>392447.00000000006</v>
      </c>
      <c r="Q20" s="40">
        <f t="shared" si="3"/>
        <v>65.795454545454547</v>
      </c>
      <c r="R20" s="31">
        <f t="shared" si="3"/>
        <v>74.772727272727266</v>
      </c>
    </row>
    <row r="21" spans="1:19" x14ac:dyDescent="0.25">
      <c r="A21" s="7">
        <v>19</v>
      </c>
      <c r="B21" s="5">
        <v>45949</v>
      </c>
      <c r="C21" s="2" t="s">
        <v>21</v>
      </c>
      <c r="D21" s="2">
        <v>403000</v>
      </c>
      <c r="E21" s="2">
        <v>386700</v>
      </c>
      <c r="F21" s="2">
        <v>8435</v>
      </c>
      <c r="G21" s="2">
        <v>59220</v>
      </c>
      <c r="H21" s="2">
        <v>586462.80000000005</v>
      </c>
      <c r="I21" s="2">
        <v>103587.6</v>
      </c>
      <c r="J21" s="2">
        <v>52347</v>
      </c>
      <c r="K21" s="2">
        <v>34643.800000000003</v>
      </c>
      <c r="L21" s="4">
        <v>29000</v>
      </c>
      <c r="M21" s="4">
        <v>34443.800000000003</v>
      </c>
      <c r="N21" s="4">
        <f t="shared" si="0"/>
        <v>699918</v>
      </c>
      <c r="O21" s="4">
        <f t="shared" si="1"/>
        <v>781265</v>
      </c>
      <c r="P21" s="4">
        <f t="shared" si="2"/>
        <v>429695.75000000006</v>
      </c>
      <c r="Q21" s="40">
        <f t="shared" si="3"/>
        <v>76.325757575757578</v>
      </c>
      <c r="R21" s="31">
        <f t="shared" si="3"/>
        <v>73.238636363636374</v>
      </c>
    </row>
    <row r="22" spans="1:19" x14ac:dyDescent="0.25">
      <c r="A22" s="7">
        <v>20</v>
      </c>
      <c r="B22" s="5">
        <v>45950</v>
      </c>
      <c r="C22" s="2" t="s">
        <v>21</v>
      </c>
      <c r="D22" s="2">
        <v>425000</v>
      </c>
      <c r="E22" s="2">
        <v>364800</v>
      </c>
      <c r="F22" s="2">
        <v>20080</v>
      </c>
      <c r="G22" s="2">
        <v>38815</v>
      </c>
      <c r="H22" s="2">
        <v>563605</v>
      </c>
      <c r="I22" s="2">
        <v>94735</v>
      </c>
      <c r="J22" s="2">
        <v>55060</v>
      </c>
      <c r="K22" s="2">
        <v>34217.5</v>
      </c>
      <c r="L22" s="4">
        <v>28400</v>
      </c>
      <c r="M22" s="4">
        <v>32517.5</v>
      </c>
      <c r="N22" s="4">
        <f t="shared" si="0"/>
        <v>686260</v>
      </c>
      <c r="O22" s="4">
        <f t="shared" si="1"/>
        <v>769720</v>
      </c>
      <c r="P22" s="4">
        <f t="shared" si="2"/>
        <v>423346.00000000006</v>
      </c>
      <c r="Q22" s="40">
        <f t="shared" si="3"/>
        <v>80.492424242424249</v>
      </c>
      <c r="R22" s="31">
        <f t="shared" si="3"/>
        <v>69.090909090909093</v>
      </c>
    </row>
    <row r="23" spans="1:19" x14ac:dyDescent="0.25">
      <c r="A23" s="7">
        <v>21</v>
      </c>
      <c r="B23" s="5">
        <v>45951</v>
      </c>
      <c r="C23" s="2" t="s">
        <v>21</v>
      </c>
      <c r="D23" s="2">
        <v>399100</v>
      </c>
      <c r="E23" s="2">
        <v>356900</v>
      </c>
      <c r="F23" s="2">
        <v>36600</v>
      </c>
      <c r="G23" s="2">
        <v>23075</v>
      </c>
      <c r="H23" s="2">
        <v>527082.80000000005</v>
      </c>
      <c r="I23" s="2">
        <v>69427.600000000006</v>
      </c>
      <c r="J23" s="2">
        <v>51937</v>
      </c>
      <c r="K23" s="2">
        <v>33763.800000000003</v>
      </c>
      <c r="L23" s="4">
        <v>27700</v>
      </c>
      <c r="M23" s="4">
        <v>32563.8</v>
      </c>
      <c r="N23" s="4">
        <f t="shared" si="0"/>
        <v>639763</v>
      </c>
      <c r="O23" s="4">
        <f t="shared" si="1"/>
        <v>719400</v>
      </c>
      <c r="P23" s="4">
        <f t="shared" si="2"/>
        <v>395670.00000000006</v>
      </c>
      <c r="Q23" s="40">
        <f t="shared" si="3"/>
        <v>75.587121212121218</v>
      </c>
      <c r="R23" s="31">
        <f t="shared" si="3"/>
        <v>67.594696969696969</v>
      </c>
    </row>
    <row r="24" spans="1:19" x14ac:dyDescent="0.25">
      <c r="A24" s="7">
        <v>22</v>
      </c>
      <c r="B24" s="5">
        <v>45952</v>
      </c>
      <c r="C24" s="2" t="s">
        <v>21</v>
      </c>
      <c r="D24" s="2">
        <v>376700</v>
      </c>
      <c r="E24" s="2">
        <v>382300</v>
      </c>
      <c r="F24" s="2">
        <v>41385</v>
      </c>
      <c r="G24" s="2">
        <v>23520</v>
      </c>
      <c r="H24" s="2">
        <v>521027.4</v>
      </c>
      <c r="I24" s="2">
        <v>73875.8</v>
      </c>
      <c r="J24" s="2">
        <v>48756</v>
      </c>
      <c r="K24" s="2">
        <v>34137.9</v>
      </c>
      <c r="L24" s="4">
        <v>28800</v>
      </c>
      <c r="M24" s="4">
        <v>34537.9</v>
      </c>
      <c r="N24" s="4">
        <f t="shared" si="0"/>
        <v>640059</v>
      </c>
      <c r="O24" s="4">
        <f t="shared" si="1"/>
        <v>717615</v>
      </c>
      <c r="P24" s="4">
        <f t="shared" si="2"/>
        <v>394688.25000000006</v>
      </c>
      <c r="Q24" s="40">
        <f t="shared" si="3"/>
        <v>71.344696969696969</v>
      </c>
      <c r="R24" s="31">
        <f t="shared" si="3"/>
        <v>72.405303030303031</v>
      </c>
    </row>
    <row r="25" spans="1:19" x14ac:dyDescent="0.25">
      <c r="A25" s="7">
        <v>23</v>
      </c>
      <c r="B25" s="5">
        <v>45953</v>
      </c>
      <c r="C25" s="2" t="s">
        <v>21</v>
      </c>
      <c r="D25" s="2">
        <v>415000</v>
      </c>
      <c r="E25" s="2">
        <v>393200</v>
      </c>
      <c r="F25" s="2">
        <v>95125</v>
      </c>
      <c r="G25" s="2">
        <v>14740</v>
      </c>
      <c r="H25" s="2">
        <v>490132.4</v>
      </c>
      <c r="I25" s="2">
        <v>86710.8</v>
      </c>
      <c r="J25" s="2">
        <v>51561</v>
      </c>
      <c r="K25" s="2">
        <v>34705.4</v>
      </c>
      <c r="L25" s="4">
        <v>29900</v>
      </c>
      <c r="M25" s="4">
        <v>34805.4</v>
      </c>
      <c r="N25" s="4">
        <f t="shared" si="0"/>
        <v>631614</v>
      </c>
      <c r="O25" s="4">
        <f t="shared" si="1"/>
        <v>713075</v>
      </c>
      <c r="P25" s="4">
        <f t="shared" si="2"/>
        <v>392191.25000000006</v>
      </c>
      <c r="Q25" s="40">
        <f t="shared" si="3"/>
        <v>78.598484848484844</v>
      </c>
      <c r="R25" s="31">
        <f t="shared" si="3"/>
        <v>74.469696969696969</v>
      </c>
    </row>
    <row r="26" spans="1:19" x14ac:dyDescent="0.25">
      <c r="A26" s="7">
        <v>24</v>
      </c>
      <c r="B26" s="5">
        <v>45954</v>
      </c>
      <c r="C26" s="2" t="s">
        <v>21</v>
      </c>
      <c r="D26" s="2">
        <v>441600</v>
      </c>
      <c r="E26" s="2">
        <v>374100</v>
      </c>
      <c r="F26" s="2">
        <v>111180</v>
      </c>
      <c r="G26" s="2">
        <v>17860</v>
      </c>
      <c r="H26" s="2">
        <v>466754.4</v>
      </c>
      <c r="I26" s="2">
        <v>102384.8</v>
      </c>
      <c r="J26" s="2">
        <v>56356</v>
      </c>
      <c r="K26" s="2">
        <v>34342.400000000001</v>
      </c>
      <c r="L26" s="4">
        <v>28600</v>
      </c>
      <c r="M26" s="4">
        <v>33942.400000000001</v>
      </c>
      <c r="N26" s="4">
        <f t="shared" si="0"/>
        <v>619564</v>
      </c>
      <c r="O26" s="4">
        <f t="shared" si="1"/>
        <v>704520</v>
      </c>
      <c r="P26" s="4">
        <f t="shared" si="2"/>
        <v>387486.00000000006</v>
      </c>
      <c r="Q26" s="40">
        <f t="shared" si="3"/>
        <v>83.636363636363626</v>
      </c>
      <c r="R26" s="31">
        <f t="shared" si="3"/>
        <v>70.85227272727272</v>
      </c>
    </row>
    <row r="27" spans="1:19" x14ac:dyDescent="0.25">
      <c r="A27" s="7">
        <v>25</v>
      </c>
      <c r="B27" s="5">
        <v>45955</v>
      </c>
      <c r="C27" s="2" t="s">
        <v>21</v>
      </c>
      <c r="D27" s="2">
        <v>440100</v>
      </c>
      <c r="E27" s="2">
        <v>374400</v>
      </c>
      <c r="F27" s="2">
        <v>21435</v>
      </c>
      <c r="G27" s="2">
        <v>34950</v>
      </c>
      <c r="H27" s="2">
        <v>581372.80000000005</v>
      </c>
      <c r="I27" s="2">
        <v>96557.6</v>
      </c>
      <c r="J27" s="2">
        <v>55327</v>
      </c>
      <c r="K27" s="2">
        <v>33928.800000000003</v>
      </c>
      <c r="L27" s="4">
        <v>28400</v>
      </c>
      <c r="M27" s="4">
        <v>32428.799999999999</v>
      </c>
      <c r="N27" s="4">
        <f t="shared" si="0"/>
        <v>709338</v>
      </c>
      <c r="O27" s="4">
        <f t="shared" si="1"/>
        <v>793065</v>
      </c>
      <c r="P27" s="4">
        <f t="shared" si="2"/>
        <v>436185.75000000006</v>
      </c>
      <c r="Q27" s="40">
        <f t="shared" si="3"/>
        <v>83.35227272727272</v>
      </c>
      <c r="R27" s="31">
        <f t="shared" si="3"/>
        <v>70.909090909090907</v>
      </c>
    </row>
    <row r="28" spans="1:19" x14ac:dyDescent="0.25">
      <c r="A28" s="7">
        <v>26</v>
      </c>
      <c r="B28" s="5">
        <v>45956</v>
      </c>
      <c r="C28" s="2" t="s">
        <v>21</v>
      </c>
      <c r="D28" s="2">
        <v>427500</v>
      </c>
      <c r="E28" s="2">
        <v>365800</v>
      </c>
      <c r="F28" s="2">
        <v>25435</v>
      </c>
      <c r="G28" s="2">
        <v>35470</v>
      </c>
      <c r="H28" s="2">
        <v>555714.19999999995</v>
      </c>
      <c r="I28" s="2">
        <v>99671.4</v>
      </c>
      <c r="J28" s="2">
        <v>53278</v>
      </c>
      <c r="K28" s="2">
        <v>34085.699999999997</v>
      </c>
      <c r="L28" s="4">
        <v>28200</v>
      </c>
      <c r="M28" s="4">
        <v>32385.7</v>
      </c>
      <c r="N28" s="4">
        <f t="shared" si="0"/>
        <v>686387</v>
      </c>
      <c r="O28" s="4">
        <f t="shared" si="1"/>
        <v>767865</v>
      </c>
      <c r="P28" s="4">
        <f t="shared" si="2"/>
        <v>422325.75000000006</v>
      </c>
      <c r="Q28" s="40">
        <f t="shared" si="3"/>
        <v>80.965909090909093</v>
      </c>
      <c r="R28" s="31">
        <f t="shared" si="3"/>
        <v>69.280303030303031</v>
      </c>
    </row>
    <row r="29" spans="1:19" x14ac:dyDescent="0.25">
      <c r="A29" s="7">
        <v>27</v>
      </c>
      <c r="B29" s="5">
        <v>45957</v>
      </c>
      <c r="C29" s="2" t="s">
        <v>21</v>
      </c>
      <c r="D29" s="2">
        <v>412800</v>
      </c>
      <c r="E29" s="2">
        <v>380900</v>
      </c>
      <c r="F29" s="2">
        <v>26510</v>
      </c>
      <c r="G29" s="2">
        <v>31825</v>
      </c>
      <c r="H29" s="2">
        <v>562749.6</v>
      </c>
      <c r="I29" s="2">
        <v>87683.199999999997</v>
      </c>
      <c r="J29" s="2">
        <v>52099</v>
      </c>
      <c r="K29" s="2">
        <v>33341.599999999999</v>
      </c>
      <c r="L29" s="4">
        <v>28600</v>
      </c>
      <c r="M29" s="4">
        <v>34541.599999999999</v>
      </c>
      <c r="N29" s="4">
        <f t="shared" si="0"/>
        <v>686491</v>
      </c>
      <c r="O29" s="4">
        <f t="shared" si="1"/>
        <v>767190</v>
      </c>
      <c r="P29" s="4">
        <f t="shared" si="2"/>
        <v>421954.50000000006</v>
      </c>
      <c r="Q29" s="40">
        <f t="shared" si="3"/>
        <v>78.181818181818187</v>
      </c>
      <c r="R29" s="31">
        <f t="shared" si="3"/>
        <v>72.140151515151516</v>
      </c>
    </row>
    <row r="30" spans="1:19" s="19" customFormat="1" x14ac:dyDescent="0.25">
      <c r="A30" s="7">
        <v>28</v>
      </c>
      <c r="B30" s="5">
        <v>45958</v>
      </c>
      <c r="C30" s="33" t="s">
        <v>21</v>
      </c>
      <c r="D30" s="33">
        <v>434400</v>
      </c>
      <c r="E30" s="33">
        <v>357000</v>
      </c>
      <c r="F30" s="33">
        <v>35560</v>
      </c>
      <c r="G30" s="33">
        <v>26875</v>
      </c>
      <c r="H30" s="33">
        <v>540571.80000000005</v>
      </c>
      <c r="I30" s="33">
        <v>91990.6</v>
      </c>
      <c r="J30" s="33">
        <v>55262</v>
      </c>
      <c r="K30" s="33">
        <v>33445.300000000003</v>
      </c>
      <c r="L30" s="35">
        <v>28300</v>
      </c>
      <c r="M30" s="36">
        <v>33145.300000000003</v>
      </c>
      <c r="N30" s="4">
        <f t="shared" si="0"/>
        <v>672278</v>
      </c>
      <c r="O30" s="4">
        <f t="shared" si="1"/>
        <v>755840</v>
      </c>
      <c r="P30" s="4">
        <f t="shared" si="2"/>
        <v>415712.00000000006</v>
      </c>
      <c r="Q30" s="41">
        <f t="shared" si="3"/>
        <v>82.27272727272728</v>
      </c>
      <c r="R30" s="38">
        <f t="shared" si="3"/>
        <v>67.61363636363636</v>
      </c>
      <c r="S30"/>
    </row>
    <row r="31" spans="1:19" x14ac:dyDescent="0.25">
      <c r="A31" s="7">
        <v>29</v>
      </c>
      <c r="B31" s="5">
        <v>45959</v>
      </c>
      <c r="C31" s="2" t="s">
        <v>21</v>
      </c>
      <c r="D31" s="2">
        <v>411600</v>
      </c>
      <c r="E31" s="2">
        <v>355400</v>
      </c>
      <c r="F31" s="2">
        <v>102480</v>
      </c>
      <c r="G31" s="2">
        <v>8395</v>
      </c>
      <c r="H31" s="2">
        <v>459428.8</v>
      </c>
      <c r="I31" s="2">
        <v>68909.600000000006</v>
      </c>
      <c r="J31" s="2">
        <v>52767</v>
      </c>
      <c r="K31" s="2">
        <v>32954.800000000003</v>
      </c>
      <c r="L31" s="4">
        <v>27200</v>
      </c>
      <c r="M31" s="4">
        <v>31654.799999999999</v>
      </c>
      <c r="N31" s="4">
        <f t="shared" si="0"/>
        <v>584553</v>
      </c>
      <c r="O31" s="4">
        <f t="shared" si="1"/>
        <v>664520</v>
      </c>
      <c r="P31" s="4">
        <f t="shared" si="2"/>
        <v>365486.00000000006</v>
      </c>
      <c r="Q31" s="40">
        <f>(D31/528000)*100</f>
        <v>77.954545454545453</v>
      </c>
      <c r="R31" s="31">
        <f t="shared" ref="R31:R32" si="4">(E31/528000)*100</f>
        <v>67.310606060606062</v>
      </c>
    </row>
    <row r="32" spans="1:19" x14ac:dyDescent="0.25">
      <c r="A32" s="7">
        <v>30</v>
      </c>
      <c r="B32" s="5">
        <v>45960</v>
      </c>
      <c r="C32" s="2" t="s">
        <v>21</v>
      </c>
      <c r="D32" s="2">
        <v>404900</v>
      </c>
      <c r="E32" s="2">
        <v>350900</v>
      </c>
      <c r="F32" s="2">
        <v>89640</v>
      </c>
      <c r="G32" s="2">
        <v>8555</v>
      </c>
      <c r="H32" s="2">
        <v>466563.6</v>
      </c>
      <c r="I32" s="2">
        <v>61921.2</v>
      </c>
      <c r="J32" s="2">
        <v>53609</v>
      </c>
      <c r="K32" s="2">
        <v>32560.6</v>
      </c>
      <c r="L32" s="4">
        <v>28400</v>
      </c>
      <c r="M32" s="4">
        <v>31660.6</v>
      </c>
      <c r="N32" s="4">
        <f t="shared" si="0"/>
        <v>584151</v>
      </c>
      <c r="O32" s="4">
        <f t="shared" si="1"/>
        <v>666160</v>
      </c>
      <c r="P32" s="4">
        <f t="shared" si="2"/>
        <v>366388.00000000006</v>
      </c>
      <c r="Q32" s="40">
        <f>(D32/528000)*100</f>
        <v>76.685606060606062</v>
      </c>
      <c r="R32" s="31">
        <f t="shared" si="4"/>
        <v>66.458333333333329</v>
      </c>
    </row>
    <row r="33" spans="1:18" x14ac:dyDescent="0.25">
      <c r="A33" s="7">
        <v>31</v>
      </c>
      <c r="B33" s="5">
        <v>45961</v>
      </c>
      <c r="C33" s="2" t="s">
        <v>21</v>
      </c>
      <c r="D33" s="2">
        <v>392300</v>
      </c>
      <c r="E33" s="2">
        <v>360500</v>
      </c>
      <c r="F33" s="2">
        <v>41345</v>
      </c>
      <c r="G33" s="2">
        <v>17990</v>
      </c>
      <c r="H33" s="2">
        <v>504360.8</v>
      </c>
      <c r="I33" s="2">
        <v>78153.600000000006</v>
      </c>
      <c r="J33" s="2">
        <v>52177</v>
      </c>
      <c r="K33" s="2">
        <v>33126.800000000003</v>
      </c>
      <c r="L33" s="4">
        <v>28200</v>
      </c>
      <c r="M33" s="4">
        <v>33426.800000000003</v>
      </c>
      <c r="N33" s="4">
        <f t="shared" si="0"/>
        <v>631078</v>
      </c>
      <c r="O33" s="4">
        <f t="shared" si="1"/>
        <v>711455</v>
      </c>
      <c r="P33" s="4">
        <f t="shared" si="2"/>
        <v>391300.25000000006</v>
      </c>
      <c r="Q33" s="12"/>
      <c r="R33" s="31"/>
    </row>
    <row r="34" spans="1:18" x14ac:dyDescent="0.25">
      <c r="A34" s="2"/>
      <c r="B34" s="2"/>
      <c r="C34" s="8" t="s">
        <v>15</v>
      </c>
      <c r="D34" s="8">
        <f t="shared" ref="D34:P34" si="5">SUM(D3:D33)</f>
        <v>12214400</v>
      </c>
      <c r="E34" s="8">
        <f>SUM(E3:E33)</f>
        <v>11382700</v>
      </c>
      <c r="F34" s="8">
        <f t="shared" si="5"/>
        <v>1367915</v>
      </c>
      <c r="G34" s="8">
        <f t="shared" si="5"/>
        <v>921960</v>
      </c>
      <c r="H34" s="8">
        <f t="shared" si="5"/>
        <v>16041012.800000004</v>
      </c>
      <c r="I34" s="23">
        <f>SUM(I3:I33)</f>
        <v>2555637.600000001</v>
      </c>
      <c r="J34" s="8">
        <f t="shared" si="5"/>
        <v>1605057</v>
      </c>
      <c r="K34" s="8">
        <f t="shared" si="5"/>
        <v>1026018.8000000002</v>
      </c>
      <c r="L34" s="8">
        <f>SUM(L3:L33)</f>
        <v>885200</v>
      </c>
      <c r="M34" s="8">
        <f>SUM(M3:M33)</f>
        <v>1038218.8000000002</v>
      </c>
      <c r="N34" s="8">
        <f t="shared" si="5"/>
        <v>19738928</v>
      </c>
      <c r="O34" s="8">
        <f t="shared" si="5"/>
        <v>22229185</v>
      </c>
      <c r="P34" s="8">
        <f t="shared" si="5"/>
        <v>12226051.75</v>
      </c>
      <c r="Q34" s="13">
        <f>SUM(Q3:Q33)/31</f>
        <v>72.226906158357778</v>
      </c>
      <c r="R34" s="13">
        <f>SUM(R3:R33)/31</f>
        <v>67.339931573802545</v>
      </c>
    </row>
    <row r="35" spans="1:18" x14ac:dyDescent="0.25">
      <c r="A35" s="2"/>
      <c r="B35" s="2"/>
      <c r="C35" s="8" t="s">
        <v>16</v>
      </c>
      <c r="D35" s="2">
        <v>12214400</v>
      </c>
      <c r="E35" s="2"/>
      <c r="F35" s="2">
        <v>1374000</v>
      </c>
      <c r="G35" s="2">
        <v>929820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x14ac:dyDescent="0.25">
      <c r="A36" s="2"/>
      <c r="B36" s="2"/>
      <c r="C36" s="8" t="s">
        <v>17</v>
      </c>
      <c r="D36" s="2">
        <f>D34-D35</f>
        <v>0</v>
      </c>
      <c r="E36" s="2"/>
      <c r="F36" s="2"/>
      <c r="G36" s="2"/>
      <c r="H36" s="60">
        <v>1775</v>
      </c>
      <c r="I36" s="61"/>
      <c r="J36" s="61"/>
      <c r="K36" s="61"/>
      <c r="L36" s="61"/>
      <c r="M36" s="62"/>
      <c r="N36" s="2"/>
      <c r="O36" s="2"/>
      <c r="P36" s="2"/>
      <c r="Q36" s="2"/>
      <c r="R36" s="2"/>
    </row>
    <row r="37" spans="1:18" x14ac:dyDescent="0.25">
      <c r="A37" s="2"/>
      <c r="B37" s="2"/>
      <c r="C37" s="8" t="s">
        <v>18</v>
      </c>
      <c r="D37" s="2"/>
      <c r="E37" s="2"/>
      <c r="F37" s="2"/>
      <c r="G37" s="2"/>
      <c r="H37" s="2">
        <v>16041900.300000001</v>
      </c>
      <c r="I37" s="2">
        <v>2555992.6</v>
      </c>
      <c r="J37" s="2"/>
      <c r="K37" s="2">
        <v>1026285.05</v>
      </c>
      <c r="L37" s="2"/>
      <c r="M37" s="2">
        <v>1038485.05</v>
      </c>
      <c r="N37" s="2"/>
      <c r="O37" s="2"/>
      <c r="P37" s="2"/>
      <c r="Q37" s="2"/>
      <c r="R37" s="2"/>
    </row>
    <row r="38" spans="1:18" x14ac:dyDescent="0.25">
      <c r="A38" s="2"/>
      <c r="B38" s="2"/>
      <c r="C38" s="8" t="s">
        <v>19</v>
      </c>
      <c r="D38" s="2">
        <v>701670.7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 x14ac:dyDescent="0.25">
      <c r="A39" s="2"/>
      <c r="B39" s="2"/>
      <c r="C39" s="8" t="s">
        <v>20</v>
      </c>
      <c r="D39" s="2">
        <v>713885.1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 x14ac:dyDescent="0.25">
      <c r="A40" s="1"/>
      <c r="B40" s="1"/>
      <c r="C40" s="1"/>
      <c r="D40" s="1">
        <f>D39-D38</f>
        <v>12214.400000000023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x14ac:dyDescent="0.25">
      <c r="A42" s="1"/>
      <c r="B42" s="1"/>
      <c r="C42" s="1"/>
      <c r="D42" s="1"/>
      <c r="E42" s="1"/>
      <c r="F42" s="1"/>
      <c r="G42" s="1"/>
      <c r="H42" s="1"/>
      <c r="I42" s="24"/>
      <c r="J42" s="1"/>
      <c r="K42" s="1"/>
      <c r="L42" s="1"/>
      <c r="M42" s="1"/>
      <c r="N42" s="1"/>
      <c r="O42" s="1"/>
      <c r="P42" s="1"/>
      <c r="Q42" s="1"/>
      <c r="R42" s="1"/>
    </row>
    <row r="43" spans="1:18" x14ac:dyDescent="0.25">
      <c r="A43" s="1"/>
      <c r="B43" s="1"/>
      <c r="C43" s="1"/>
      <c r="D43" s="1"/>
      <c r="E43" s="1"/>
      <c r="F43" s="1"/>
      <c r="G43" s="24"/>
      <c r="H43" s="1"/>
      <c r="I43" s="20"/>
      <c r="J43" s="1"/>
      <c r="K43" s="1"/>
      <c r="L43" s="1"/>
      <c r="M43" s="1"/>
      <c r="N43" s="1"/>
      <c r="O43" s="1"/>
      <c r="P43" s="1"/>
      <c r="Q43" s="1"/>
      <c r="R43" s="1"/>
    </row>
    <row r="44" spans="1:18" x14ac:dyDescent="0.25">
      <c r="A44" s="1"/>
      <c r="B44" s="1"/>
      <c r="C44" s="1"/>
      <c r="D44" s="1"/>
      <c r="E44" s="1"/>
      <c r="F44" s="1"/>
      <c r="G44" s="1"/>
      <c r="H44" s="24"/>
      <c r="I44" s="32"/>
      <c r="J44" s="1"/>
      <c r="K44" s="1"/>
      <c r="L44" s="1"/>
      <c r="M44" s="1"/>
      <c r="N44" s="1"/>
      <c r="O44" s="1"/>
      <c r="P44" s="1"/>
      <c r="Q44" s="1"/>
      <c r="R44" s="1"/>
    </row>
    <row r="45" spans="1:18" x14ac:dyDescent="0.25">
      <c r="A45" s="1"/>
      <c r="B45" s="1"/>
      <c r="C45" s="1"/>
      <c r="D45" s="1"/>
      <c r="E45" s="1"/>
      <c r="F45" s="24"/>
      <c r="G45" s="1"/>
      <c r="H45" s="24"/>
      <c r="I45" s="32"/>
      <c r="J45" s="1"/>
      <c r="K45" s="1"/>
      <c r="L45" s="1"/>
      <c r="M45" s="1"/>
      <c r="N45" s="1"/>
      <c r="O45" s="1"/>
      <c r="P45" s="1"/>
      <c r="Q45" s="1"/>
      <c r="R45" s="1"/>
    </row>
    <row r="46" spans="1:18" x14ac:dyDescent="0.25">
      <c r="A46" s="1"/>
      <c r="B46" s="1"/>
      <c r="C46" s="1"/>
      <c r="D46" s="1"/>
      <c r="E46" s="1"/>
      <c r="F46" s="1"/>
      <c r="G46" s="24"/>
      <c r="H46" s="1"/>
      <c r="I46" s="32"/>
      <c r="J46" s="1"/>
      <c r="K46" s="1"/>
      <c r="L46" s="1"/>
      <c r="M46" s="1"/>
      <c r="N46" s="1"/>
      <c r="O46" s="1"/>
      <c r="P46" s="1"/>
      <c r="Q46" s="1"/>
      <c r="R46" s="1"/>
    </row>
    <row r="47" spans="1:18" x14ac:dyDescent="0.25">
      <c r="A47" s="1"/>
      <c r="B47" s="1"/>
      <c r="C47" s="1"/>
      <c r="D47" s="1"/>
      <c r="E47" s="1"/>
      <c r="F47" s="1"/>
      <c r="G47" s="1"/>
      <c r="H47" s="1"/>
      <c r="I47" s="32"/>
      <c r="J47" s="1"/>
      <c r="K47" s="1"/>
      <c r="L47" s="1"/>
      <c r="M47" s="1"/>
      <c r="N47" s="1"/>
      <c r="O47" s="1"/>
      <c r="P47" s="1"/>
      <c r="Q47" s="1"/>
      <c r="R47" s="1"/>
    </row>
    <row r="48" spans="1:18" x14ac:dyDescent="0.25">
      <c r="A48" s="1"/>
      <c r="B48" s="1"/>
      <c r="C48" s="1"/>
      <c r="D48" s="1"/>
      <c r="E48" s="1"/>
      <c r="F48" s="24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</sheetData>
  <mergeCells count="2">
    <mergeCell ref="A1:R1"/>
    <mergeCell ref="H36:M36"/>
  </mergeCells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48"/>
  <sheetViews>
    <sheetView topLeftCell="A16" zoomScaleNormal="100" workbookViewId="0">
      <selection activeCell="K45" sqref="K45"/>
    </sheetView>
  </sheetViews>
  <sheetFormatPr defaultRowHeight="15" x14ac:dyDescent="0.25"/>
  <cols>
    <col min="1" max="1" width="5.5703125" bestFit="1" customWidth="1"/>
    <col min="2" max="2" width="10.140625" customWidth="1"/>
    <col min="3" max="3" width="18" customWidth="1"/>
    <col min="4" max="5" width="10.42578125" customWidth="1"/>
    <col min="6" max="6" width="8.85546875" customWidth="1"/>
    <col min="7" max="7" width="11.42578125" customWidth="1"/>
    <col min="8" max="8" width="12.7109375" customWidth="1"/>
    <col min="9" max="9" width="13.140625" customWidth="1"/>
    <col min="10" max="11" width="9.85546875" customWidth="1"/>
    <col min="12" max="12" width="11.140625" customWidth="1"/>
    <col min="13" max="13" width="9.7109375" customWidth="1"/>
    <col min="14" max="14" width="8.7109375" customWidth="1"/>
    <col min="15" max="15" width="13" customWidth="1"/>
    <col min="16" max="16" width="11.5703125" bestFit="1" customWidth="1"/>
    <col min="17" max="17" width="7.42578125" customWidth="1"/>
    <col min="18" max="18" width="9" customWidth="1"/>
  </cols>
  <sheetData>
    <row r="1" spans="1:18" ht="40.5" customHeight="1" thickBot="1" x14ac:dyDescent="0.3">
      <c r="A1" s="66" t="s">
        <v>96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</row>
    <row r="2" spans="1:18" ht="51.75" customHeight="1" thickBot="1" x14ac:dyDescent="0.3">
      <c r="A2" s="9" t="s">
        <v>0</v>
      </c>
      <c r="B2" s="10" t="s">
        <v>1</v>
      </c>
      <c r="C2" s="10" t="s">
        <v>2</v>
      </c>
      <c r="D2" s="21" t="s">
        <v>56</v>
      </c>
      <c r="E2" s="21" t="s">
        <v>57</v>
      </c>
      <c r="F2" s="21" t="s">
        <v>4</v>
      </c>
      <c r="G2" s="21" t="s">
        <v>5</v>
      </c>
      <c r="H2" s="21" t="s">
        <v>6</v>
      </c>
      <c r="I2" s="21" t="s">
        <v>7</v>
      </c>
      <c r="J2" s="21" t="s">
        <v>64</v>
      </c>
      <c r="K2" s="21" t="s">
        <v>66</v>
      </c>
      <c r="L2" s="21" t="s">
        <v>65</v>
      </c>
      <c r="M2" s="21" t="s">
        <v>67</v>
      </c>
      <c r="N2" s="21" t="s">
        <v>10</v>
      </c>
      <c r="O2" s="21" t="s">
        <v>11</v>
      </c>
      <c r="P2" s="10" t="s">
        <v>12</v>
      </c>
      <c r="Q2" s="29" t="s">
        <v>54</v>
      </c>
      <c r="R2" s="30" t="s">
        <v>55</v>
      </c>
    </row>
    <row r="3" spans="1:18" x14ac:dyDescent="0.25">
      <c r="A3" s="6">
        <v>1</v>
      </c>
      <c r="B3" s="5">
        <v>45901</v>
      </c>
      <c r="C3" s="4" t="s">
        <v>21</v>
      </c>
      <c r="D3" s="4">
        <v>415400</v>
      </c>
      <c r="E3" s="4">
        <v>234800</v>
      </c>
      <c r="F3" s="4">
        <v>1145</v>
      </c>
      <c r="G3" s="4">
        <v>146385</v>
      </c>
      <c r="H3" s="4">
        <v>572629.80000000005</v>
      </c>
      <c r="I3" s="4">
        <v>90776.6</v>
      </c>
      <c r="J3" s="4">
        <v>53657</v>
      </c>
      <c r="K3" s="4">
        <v>30888.3</v>
      </c>
      <c r="L3" s="4">
        <v>21200</v>
      </c>
      <c r="M3" s="4">
        <v>26288.3</v>
      </c>
      <c r="N3" s="4">
        <f>(D3+E3)-F3-J3-L3</f>
        <v>574198</v>
      </c>
      <c r="O3" s="4">
        <f>(D3+E3)-F3</f>
        <v>649055</v>
      </c>
      <c r="P3" s="4">
        <f>O3*0.55</f>
        <v>356980.25</v>
      </c>
      <c r="Q3" s="40">
        <f>(D3/528000)*100</f>
        <v>78.674242424242422</v>
      </c>
      <c r="R3" s="31">
        <f>(E3/528000)*100</f>
        <v>44.469696969696969</v>
      </c>
    </row>
    <row r="4" spans="1:18" x14ac:dyDescent="0.25">
      <c r="A4" s="7">
        <v>2</v>
      </c>
      <c r="B4" s="5">
        <v>45902</v>
      </c>
      <c r="C4" s="2" t="s">
        <v>21</v>
      </c>
      <c r="D4" s="2">
        <v>422800</v>
      </c>
      <c r="E4" s="2">
        <v>247000</v>
      </c>
      <c r="F4" s="2">
        <v>6900</v>
      </c>
      <c r="G4" s="2">
        <v>94455</v>
      </c>
      <c r="H4" s="2">
        <v>540833.4</v>
      </c>
      <c r="I4" s="2">
        <v>83877.8</v>
      </c>
      <c r="J4" s="2">
        <v>52366</v>
      </c>
      <c r="K4" s="2">
        <v>32438.9</v>
      </c>
      <c r="L4" s="4">
        <v>20500</v>
      </c>
      <c r="M4" s="4">
        <v>27338.9</v>
      </c>
      <c r="N4" s="4">
        <f t="shared" ref="N4:N32" si="0">(D4+E4)-F4-J4-L4</f>
        <v>590034</v>
      </c>
      <c r="O4" s="4">
        <f t="shared" ref="O4:O32" si="1">(D4+E4)-F4</f>
        <v>662900</v>
      </c>
      <c r="P4" s="4">
        <f t="shared" ref="P4:P32" si="2">O4*0.55</f>
        <v>364595.00000000006</v>
      </c>
      <c r="Q4" s="40">
        <f>(D4/528000)*100</f>
        <v>80.075757575757578</v>
      </c>
      <c r="R4" s="31">
        <f>(E4/528000)*100</f>
        <v>46.780303030303031</v>
      </c>
    </row>
    <row r="5" spans="1:18" x14ac:dyDescent="0.25">
      <c r="A5" s="7">
        <v>3</v>
      </c>
      <c r="B5" s="5">
        <v>45903</v>
      </c>
      <c r="C5" s="2" t="s">
        <v>21</v>
      </c>
      <c r="D5" s="2">
        <v>428900</v>
      </c>
      <c r="E5" s="2">
        <v>258600</v>
      </c>
      <c r="F5" s="2">
        <v>15355</v>
      </c>
      <c r="G5" s="2">
        <v>67645</v>
      </c>
      <c r="H5" s="2">
        <v>526629.80000000005</v>
      </c>
      <c r="I5" s="2">
        <v>74676.600000000006</v>
      </c>
      <c r="J5" s="2">
        <v>53107</v>
      </c>
      <c r="K5" s="2">
        <v>35088.300000000003</v>
      </c>
      <c r="L5" s="4">
        <v>21300</v>
      </c>
      <c r="M5" s="4">
        <v>28988.3</v>
      </c>
      <c r="N5" s="4">
        <f t="shared" si="0"/>
        <v>597738</v>
      </c>
      <c r="O5" s="4">
        <f t="shared" si="1"/>
        <v>672145</v>
      </c>
      <c r="P5" s="4">
        <f t="shared" si="2"/>
        <v>369679.75000000006</v>
      </c>
      <c r="Q5" s="40">
        <f t="shared" ref="Q5:R30" si="3">(D5/528000)*100</f>
        <v>81.231060606060595</v>
      </c>
      <c r="R5" s="31">
        <f t="shared" si="3"/>
        <v>48.977272727272727</v>
      </c>
    </row>
    <row r="6" spans="1:18" x14ac:dyDescent="0.25">
      <c r="A6" s="7">
        <v>4</v>
      </c>
      <c r="B6" s="5">
        <v>45904</v>
      </c>
      <c r="C6" s="2" t="s">
        <v>21</v>
      </c>
      <c r="D6" s="2">
        <v>453300</v>
      </c>
      <c r="E6" s="2">
        <v>293500</v>
      </c>
      <c r="F6" s="2">
        <v>23175</v>
      </c>
      <c r="G6" s="2">
        <v>33610</v>
      </c>
      <c r="H6" s="2">
        <v>541491.69999999995</v>
      </c>
      <c r="I6" s="2">
        <v>73263.8</v>
      </c>
      <c r="J6" s="2">
        <v>54416</v>
      </c>
      <c r="K6" s="2">
        <v>34231.599999999999</v>
      </c>
      <c r="L6" s="4">
        <v>23600</v>
      </c>
      <c r="M6" s="4">
        <v>30231.9</v>
      </c>
      <c r="N6" s="4">
        <f t="shared" si="0"/>
        <v>645609</v>
      </c>
      <c r="O6" s="4">
        <f t="shared" si="1"/>
        <v>723625</v>
      </c>
      <c r="P6" s="4">
        <f t="shared" si="2"/>
        <v>397993.75000000006</v>
      </c>
      <c r="Q6" s="40">
        <f t="shared" si="3"/>
        <v>85.852272727272734</v>
      </c>
      <c r="R6" s="31">
        <f t="shared" si="3"/>
        <v>55.587121212121218</v>
      </c>
    </row>
    <row r="7" spans="1:18" x14ac:dyDescent="0.25">
      <c r="A7" s="7">
        <v>5</v>
      </c>
      <c r="B7" s="5">
        <v>45905</v>
      </c>
      <c r="C7" s="2" t="s">
        <v>21</v>
      </c>
      <c r="D7" s="2">
        <v>438200</v>
      </c>
      <c r="E7" s="2">
        <v>303300</v>
      </c>
      <c r="F7" s="2">
        <v>23485</v>
      </c>
      <c r="G7" s="2">
        <v>40075</v>
      </c>
      <c r="H7" s="2">
        <v>541103.19999999995</v>
      </c>
      <c r="I7" s="2">
        <v>71934.399999999994</v>
      </c>
      <c r="J7" s="2">
        <v>54718</v>
      </c>
      <c r="K7" s="2">
        <v>33067.199999999997</v>
      </c>
      <c r="L7" s="4">
        <v>26500</v>
      </c>
      <c r="M7" s="4">
        <v>30767.200000000001</v>
      </c>
      <c r="N7" s="4">
        <f t="shared" si="0"/>
        <v>636797</v>
      </c>
      <c r="O7" s="4">
        <f t="shared" si="1"/>
        <v>718015</v>
      </c>
      <c r="P7" s="4">
        <f t="shared" si="2"/>
        <v>394908.25000000006</v>
      </c>
      <c r="Q7" s="40">
        <f t="shared" si="3"/>
        <v>82.992424242424249</v>
      </c>
      <c r="R7" s="31">
        <f t="shared" si="3"/>
        <v>57.44318181818182</v>
      </c>
    </row>
    <row r="8" spans="1:18" x14ac:dyDescent="0.25">
      <c r="A8" s="7">
        <v>6</v>
      </c>
      <c r="B8" s="5">
        <v>45906</v>
      </c>
      <c r="C8" s="2" t="s">
        <v>21</v>
      </c>
      <c r="D8" s="2">
        <v>427500</v>
      </c>
      <c r="E8" s="2">
        <v>325400</v>
      </c>
      <c r="F8" s="2">
        <v>26040</v>
      </c>
      <c r="G8" s="2">
        <v>29470</v>
      </c>
      <c r="H8" s="2">
        <v>535046.19999999995</v>
      </c>
      <c r="I8" s="2">
        <v>76915.399999999994</v>
      </c>
      <c r="J8" s="2">
        <v>53853</v>
      </c>
      <c r="K8" s="2">
        <v>31457.7</v>
      </c>
      <c r="L8" s="4">
        <v>27300</v>
      </c>
      <c r="M8" s="4">
        <v>31757.7</v>
      </c>
      <c r="N8" s="4">
        <f t="shared" si="0"/>
        <v>645707</v>
      </c>
      <c r="O8" s="4">
        <f t="shared" si="1"/>
        <v>726860</v>
      </c>
      <c r="P8" s="4">
        <f t="shared" si="2"/>
        <v>399773.00000000006</v>
      </c>
      <c r="Q8" s="40">
        <f t="shared" si="3"/>
        <v>80.965909090909093</v>
      </c>
      <c r="R8" s="31">
        <f t="shared" si="3"/>
        <v>61.628787878787882</v>
      </c>
    </row>
    <row r="9" spans="1:18" x14ac:dyDescent="0.25">
      <c r="A9" s="7">
        <v>7</v>
      </c>
      <c r="B9" s="5">
        <v>45907</v>
      </c>
      <c r="C9" s="2" t="s">
        <v>21</v>
      </c>
      <c r="D9" s="2">
        <v>424100</v>
      </c>
      <c r="E9" s="2">
        <v>338000</v>
      </c>
      <c r="F9" s="2">
        <v>29980</v>
      </c>
      <c r="G9" s="2">
        <v>25060</v>
      </c>
      <c r="H9" s="2">
        <v>543111.6</v>
      </c>
      <c r="I9" s="2">
        <v>66037.2</v>
      </c>
      <c r="J9" s="2">
        <v>54994</v>
      </c>
      <c r="K9" s="2">
        <v>30318.6</v>
      </c>
      <c r="L9" s="4">
        <v>29600</v>
      </c>
      <c r="M9" s="4">
        <v>33118.6</v>
      </c>
      <c r="N9" s="4">
        <f t="shared" si="0"/>
        <v>647526</v>
      </c>
      <c r="O9" s="4">
        <f t="shared" si="1"/>
        <v>732120</v>
      </c>
      <c r="P9" s="4">
        <f t="shared" si="2"/>
        <v>402666.00000000006</v>
      </c>
      <c r="Q9" s="40">
        <f t="shared" si="3"/>
        <v>80.321969696969703</v>
      </c>
      <c r="R9" s="31">
        <f t="shared" si="3"/>
        <v>64.015151515151516</v>
      </c>
    </row>
    <row r="10" spans="1:18" x14ac:dyDescent="0.25">
      <c r="A10" s="7">
        <v>8</v>
      </c>
      <c r="B10" s="5">
        <v>45908</v>
      </c>
      <c r="C10" s="2" t="s">
        <v>21</v>
      </c>
      <c r="D10" s="2">
        <v>405000</v>
      </c>
      <c r="E10" s="2">
        <v>346900</v>
      </c>
      <c r="F10" s="2">
        <v>49000</v>
      </c>
      <c r="G10" s="2">
        <v>16690</v>
      </c>
      <c r="H10" s="2">
        <v>504321.8</v>
      </c>
      <c r="I10" s="2">
        <v>70440.600000000006</v>
      </c>
      <c r="J10" s="2">
        <v>51987</v>
      </c>
      <c r="K10" s="2">
        <v>30020.3</v>
      </c>
      <c r="L10" s="4">
        <v>29500</v>
      </c>
      <c r="M10" s="4">
        <v>33320.300000000003</v>
      </c>
      <c r="N10" s="4">
        <f t="shared" si="0"/>
        <v>621413</v>
      </c>
      <c r="O10" s="4">
        <f t="shared" si="1"/>
        <v>702900</v>
      </c>
      <c r="P10" s="4">
        <f t="shared" si="2"/>
        <v>386595.00000000006</v>
      </c>
      <c r="Q10" s="40">
        <f t="shared" si="3"/>
        <v>76.704545454545453</v>
      </c>
      <c r="R10" s="31">
        <f t="shared" si="3"/>
        <v>65.700757575757578</v>
      </c>
    </row>
    <row r="11" spans="1:18" x14ac:dyDescent="0.25">
      <c r="A11" s="7">
        <v>9</v>
      </c>
      <c r="B11" s="5">
        <v>45909</v>
      </c>
      <c r="C11" s="2" t="s">
        <v>21</v>
      </c>
      <c r="D11" s="2">
        <v>382400</v>
      </c>
      <c r="E11" s="2">
        <v>351200</v>
      </c>
      <c r="F11" s="2">
        <v>42330</v>
      </c>
      <c r="G11" s="2">
        <v>10695</v>
      </c>
      <c r="H11" s="2">
        <v>498219.6</v>
      </c>
      <c r="I11" s="2">
        <v>59873.2</v>
      </c>
      <c r="J11" s="2">
        <v>49899</v>
      </c>
      <c r="K11" s="2">
        <v>30286.6</v>
      </c>
      <c r="L11" s="4">
        <v>29500</v>
      </c>
      <c r="M11" s="4">
        <v>34186.6</v>
      </c>
      <c r="N11" s="4">
        <f t="shared" si="0"/>
        <v>611871</v>
      </c>
      <c r="O11" s="4">
        <f t="shared" si="1"/>
        <v>691270</v>
      </c>
      <c r="P11" s="4">
        <f t="shared" si="2"/>
        <v>380198.50000000006</v>
      </c>
      <c r="Q11" s="40">
        <f t="shared" si="3"/>
        <v>72.424242424242422</v>
      </c>
      <c r="R11" s="31">
        <f t="shared" si="3"/>
        <v>66.515151515151516</v>
      </c>
    </row>
    <row r="12" spans="1:18" x14ac:dyDescent="0.25">
      <c r="A12" s="7">
        <v>10</v>
      </c>
      <c r="B12" s="5">
        <v>45910</v>
      </c>
      <c r="C12" s="2" t="s">
        <v>21</v>
      </c>
      <c r="D12" s="2">
        <v>400500</v>
      </c>
      <c r="E12" s="2">
        <v>334760.3</v>
      </c>
      <c r="F12" s="2">
        <v>36035</v>
      </c>
      <c r="G12" s="2">
        <v>23265</v>
      </c>
      <c r="H12" s="2">
        <v>499946.9</v>
      </c>
      <c r="I12" s="2">
        <v>82015.600000000006</v>
      </c>
      <c r="J12" s="2">
        <v>52852</v>
      </c>
      <c r="K12" s="2">
        <v>28957.8</v>
      </c>
      <c r="L12" s="4">
        <v>26960.2</v>
      </c>
      <c r="M12" s="4">
        <v>31757.8</v>
      </c>
      <c r="N12" s="4">
        <f t="shared" si="0"/>
        <v>619413.10000000009</v>
      </c>
      <c r="O12" s="4">
        <f t="shared" si="1"/>
        <v>699225.3</v>
      </c>
      <c r="P12" s="4">
        <f t="shared" si="2"/>
        <v>384573.91500000004</v>
      </c>
      <c r="Q12" s="40">
        <f t="shared" si="3"/>
        <v>75.852272727272734</v>
      </c>
      <c r="R12" s="31">
        <f t="shared" si="3"/>
        <v>63.401571969696967</v>
      </c>
    </row>
    <row r="13" spans="1:18" x14ac:dyDescent="0.25">
      <c r="A13" s="7">
        <v>11</v>
      </c>
      <c r="B13" s="5">
        <v>45911</v>
      </c>
      <c r="C13" s="2" t="s">
        <v>21</v>
      </c>
      <c r="D13" s="2">
        <v>415300</v>
      </c>
      <c r="E13" s="2">
        <v>363700</v>
      </c>
      <c r="F13" s="2">
        <v>35690</v>
      </c>
      <c r="G13" s="2">
        <v>26350</v>
      </c>
      <c r="H13" s="2">
        <v>527982.19999999995</v>
      </c>
      <c r="I13" s="2">
        <v>98227.4</v>
      </c>
      <c r="J13" s="2">
        <v>52123</v>
      </c>
      <c r="K13" s="2">
        <v>29613.7</v>
      </c>
      <c r="L13" s="4">
        <v>28900</v>
      </c>
      <c r="M13" s="4">
        <v>32813.699999999997</v>
      </c>
      <c r="N13" s="4">
        <f t="shared" si="0"/>
        <v>662287</v>
      </c>
      <c r="O13" s="4">
        <f t="shared" si="1"/>
        <v>743310</v>
      </c>
      <c r="P13" s="4">
        <f t="shared" si="2"/>
        <v>408820.50000000006</v>
      </c>
      <c r="Q13" s="40">
        <f t="shared" si="3"/>
        <v>78.655303030303031</v>
      </c>
      <c r="R13" s="31">
        <f t="shared" si="3"/>
        <v>68.882575757575765</v>
      </c>
    </row>
    <row r="14" spans="1:18" x14ac:dyDescent="0.25">
      <c r="A14" s="7">
        <v>12</v>
      </c>
      <c r="B14" s="5">
        <v>45912</v>
      </c>
      <c r="C14" s="2" t="s">
        <v>21</v>
      </c>
      <c r="D14" s="2">
        <v>406600</v>
      </c>
      <c r="E14" s="2">
        <v>357500</v>
      </c>
      <c r="F14" s="2">
        <v>41645</v>
      </c>
      <c r="G14" s="2">
        <v>28215</v>
      </c>
      <c r="H14" s="2">
        <v>510097.8</v>
      </c>
      <c r="I14" s="2">
        <v>97632.6</v>
      </c>
      <c r="J14" s="2">
        <v>51707</v>
      </c>
      <c r="K14" s="2">
        <v>29816.3</v>
      </c>
      <c r="L14" s="4">
        <v>27900</v>
      </c>
      <c r="M14" s="4">
        <v>33516.300000000003</v>
      </c>
      <c r="N14" s="4">
        <f t="shared" si="0"/>
        <v>642848</v>
      </c>
      <c r="O14" s="4">
        <f t="shared" si="1"/>
        <v>722455</v>
      </c>
      <c r="P14" s="4">
        <f t="shared" si="2"/>
        <v>397350.25000000006</v>
      </c>
      <c r="Q14" s="40">
        <f t="shared" si="3"/>
        <v>77.007575757575751</v>
      </c>
      <c r="R14" s="31">
        <f t="shared" si="3"/>
        <v>67.708333333333343</v>
      </c>
    </row>
    <row r="15" spans="1:18" x14ac:dyDescent="0.25">
      <c r="A15" s="7">
        <v>13</v>
      </c>
      <c r="B15" s="5">
        <v>45913</v>
      </c>
      <c r="C15" s="2" t="s">
        <v>21</v>
      </c>
      <c r="D15" s="2">
        <v>422500</v>
      </c>
      <c r="E15" s="2">
        <v>349000</v>
      </c>
      <c r="F15" s="2">
        <v>14510</v>
      </c>
      <c r="G15" s="2">
        <v>49530</v>
      </c>
      <c r="H15" s="2">
        <v>557959.80000000005</v>
      </c>
      <c r="I15" s="2">
        <v>103686.6</v>
      </c>
      <c r="J15" s="2">
        <v>53787</v>
      </c>
      <c r="K15" s="2">
        <v>29993.3</v>
      </c>
      <c r="L15" s="4">
        <v>28600</v>
      </c>
      <c r="M15" s="4">
        <v>32493.3</v>
      </c>
      <c r="N15" s="4">
        <f t="shared" si="0"/>
        <v>674603</v>
      </c>
      <c r="O15" s="4">
        <f t="shared" si="1"/>
        <v>756990</v>
      </c>
      <c r="P15" s="4">
        <f t="shared" si="2"/>
        <v>416344.50000000006</v>
      </c>
      <c r="Q15" s="40">
        <f t="shared" si="3"/>
        <v>80.018939393939391</v>
      </c>
      <c r="R15" s="31">
        <f t="shared" si="3"/>
        <v>66.098484848484844</v>
      </c>
    </row>
    <row r="16" spans="1:18" x14ac:dyDescent="0.25">
      <c r="A16" s="7">
        <v>14</v>
      </c>
      <c r="B16" s="5">
        <v>45914</v>
      </c>
      <c r="C16" s="2" t="s">
        <v>21</v>
      </c>
      <c r="D16" s="2">
        <v>388500</v>
      </c>
      <c r="E16" s="2">
        <v>337600</v>
      </c>
      <c r="F16" s="2">
        <v>9180</v>
      </c>
      <c r="G16" s="2">
        <v>75550</v>
      </c>
      <c r="H16" s="2">
        <v>552425</v>
      </c>
      <c r="I16" s="2">
        <v>99775</v>
      </c>
      <c r="J16" s="2">
        <v>51995</v>
      </c>
      <c r="K16" s="2">
        <v>28137.5</v>
      </c>
      <c r="L16" s="4">
        <v>27800</v>
      </c>
      <c r="M16" s="4">
        <v>32337.5</v>
      </c>
      <c r="N16" s="4">
        <f t="shared" si="0"/>
        <v>637125</v>
      </c>
      <c r="O16" s="4">
        <f t="shared" si="1"/>
        <v>716920</v>
      </c>
      <c r="P16" s="4">
        <f t="shared" si="2"/>
        <v>394306.00000000006</v>
      </c>
      <c r="Q16" s="40">
        <f t="shared" si="3"/>
        <v>73.579545454545453</v>
      </c>
      <c r="R16" s="31">
        <f t="shared" si="3"/>
        <v>63.939393939393938</v>
      </c>
    </row>
    <row r="17" spans="1:19" x14ac:dyDescent="0.25">
      <c r="A17" s="7">
        <v>15</v>
      </c>
      <c r="B17" s="5">
        <v>45915</v>
      </c>
      <c r="C17" s="2" t="s">
        <v>21</v>
      </c>
      <c r="D17" s="2">
        <v>384700</v>
      </c>
      <c r="E17" s="2">
        <v>345400</v>
      </c>
      <c r="F17" s="2">
        <v>18385</v>
      </c>
      <c r="G17" s="2">
        <v>49515</v>
      </c>
      <c r="H17" s="2">
        <v>531936.19999999995</v>
      </c>
      <c r="I17" s="2">
        <v>89945.4</v>
      </c>
      <c r="J17" s="2">
        <v>51203</v>
      </c>
      <c r="K17" s="2">
        <v>27622.7</v>
      </c>
      <c r="L17" s="4">
        <v>27600</v>
      </c>
      <c r="M17" s="4">
        <v>32922.699999999997</v>
      </c>
      <c r="N17" s="4">
        <f t="shared" si="0"/>
        <v>632912</v>
      </c>
      <c r="O17" s="4">
        <f t="shared" si="1"/>
        <v>711715</v>
      </c>
      <c r="P17" s="4">
        <f t="shared" si="2"/>
        <v>391443.25000000006</v>
      </c>
      <c r="Q17" s="40">
        <f t="shared" si="3"/>
        <v>72.859848484848484</v>
      </c>
      <c r="R17" s="31">
        <f t="shared" si="3"/>
        <v>65.416666666666671</v>
      </c>
    </row>
    <row r="18" spans="1:19" x14ac:dyDescent="0.25">
      <c r="A18" s="7">
        <v>16</v>
      </c>
      <c r="B18" s="5">
        <v>45916</v>
      </c>
      <c r="C18" s="2" t="s">
        <v>21</v>
      </c>
      <c r="D18" s="2">
        <v>366900</v>
      </c>
      <c r="E18" s="2">
        <v>346800</v>
      </c>
      <c r="F18" s="2">
        <v>34395</v>
      </c>
      <c r="G18" s="2">
        <v>34960</v>
      </c>
      <c r="H18" s="2">
        <v>477992</v>
      </c>
      <c r="I18" s="2">
        <v>99464</v>
      </c>
      <c r="J18" s="2">
        <v>49645</v>
      </c>
      <c r="K18" s="2">
        <v>28182</v>
      </c>
      <c r="L18" s="4">
        <v>27500</v>
      </c>
      <c r="M18" s="4">
        <v>31482</v>
      </c>
      <c r="N18" s="4">
        <f t="shared" si="0"/>
        <v>602160</v>
      </c>
      <c r="O18" s="4">
        <f t="shared" si="1"/>
        <v>679305</v>
      </c>
      <c r="P18" s="4">
        <f t="shared" si="2"/>
        <v>373617.75000000006</v>
      </c>
      <c r="Q18" s="40">
        <f t="shared" si="3"/>
        <v>69.488636363636374</v>
      </c>
      <c r="R18" s="31">
        <f t="shared" si="3"/>
        <v>65.681818181818187</v>
      </c>
    </row>
    <row r="19" spans="1:19" x14ac:dyDescent="0.25">
      <c r="A19" s="7">
        <v>17</v>
      </c>
      <c r="B19" s="5">
        <v>45917</v>
      </c>
      <c r="C19" s="2" t="s">
        <v>21</v>
      </c>
      <c r="D19" s="2">
        <v>397500</v>
      </c>
      <c r="E19" s="2">
        <v>350300</v>
      </c>
      <c r="F19" s="2">
        <v>16495</v>
      </c>
      <c r="G19" s="2">
        <v>53055</v>
      </c>
      <c r="H19" s="2">
        <v>553729.6</v>
      </c>
      <c r="I19" s="2">
        <v>91343.2</v>
      </c>
      <c r="J19" s="2">
        <v>52744</v>
      </c>
      <c r="K19" s="2">
        <v>27271.599999999999</v>
      </c>
      <c r="L19" s="4">
        <v>28800</v>
      </c>
      <c r="M19" s="4">
        <v>30471.599999999999</v>
      </c>
      <c r="N19" s="4">
        <f t="shared" si="0"/>
        <v>649761</v>
      </c>
      <c r="O19" s="4">
        <f t="shared" si="1"/>
        <v>731305</v>
      </c>
      <c r="P19" s="4">
        <f t="shared" si="2"/>
        <v>402217.75000000006</v>
      </c>
      <c r="Q19" s="40">
        <f t="shared" si="3"/>
        <v>75.284090909090907</v>
      </c>
      <c r="R19" s="31">
        <f t="shared" si="3"/>
        <v>66.344696969696969</v>
      </c>
    </row>
    <row r="20" spans="1:19" x14ac:dyDescent="0.25">
      <c r="A20" s="7">
        <v>18</v>
      </c>
      <c r="B20" s="5">
        <v>45918</v>
      </c>
      <c r="C20" s="2" t="s">
        <v>21</v>
      </c>
      <c r="D20" s="2">
        <v>398600</v>
      </c>
      <c r="E20" s="2">
        <v>338700</v>
      </c>
      <c r="F20" s="2">
        <v>24010</v>
      </c>
      <c r="G20" s="2">
        <v>48575</v>
      </c>
      <c r="H20" s="2">
        <v>528691.19999999995</v>
      </c>
      <c r="I20" s="2">
        <v>93030.399999999994</v>
      </c>
      <c r="J20" s="2">
        <v>53913</v>
      </c>
      <c r="K20" s="2">
        <v>27115.200000000001</v>
      </c>
      <c r="L20" s="4">
        <v>28100</v>
      </c>
      <c r="M20" s="4">
        <v>31015.200000000001</v>
      </c>
      <c r="N20" s="4">
        <f t="shared" si="0"/>
        <v>631277</v>
      </c>
      <c r="O20" s="4">
        <f t="shared" si="1"/>
        <v>713290</v>
      </c>
      <c r="P20" s="4">
        <f t="shared" si="2"/>
        <v>392309.50000000006</v>
      </c>
      <c r="Q20" s="40">
        <f t="shared" si="3"/>
        <v>75.492424242424235</v>
      </c>
      <c r="R20" s="31">
        <f t="shared" si="3"/>
        <v>64.147727272727266</v>
      </c>
    </row>
    <row r="21" spans="1:19" x14ac:dyDescent="0.25">
      <c r="A21" s="7">
        <v>19</v>
      </c>
      <c r="B21" s="5">
        <v>45919</v>
      </c>
      <c r="C21" s="2" t="s">
        <v>21</v>
      </c>
      <c r="D21" s="2">
        <v>354300</v>
      </c>
      <c r="E21" s="2">
        <v>326100</v>
      </c>
      <c r="F21" s="2">
        <v>84025</v>
      </c>
      <c r="G21" s="2">
        <v>15375</v>
      </c>
      <c r="H21" s="2">
        <v>382009.8</v>
      </c>
      <c r="I21" s="2">
        <v>93336.6</v>
      </c>
      <c r="J21" s="2">
        <v>49267</v>
      </c>
      <c r="K21" s="2">
        <v>27368.3</v>
      </c>
      <c r="L21" s="4">
        <v>28400</v>
      </c>
      <c r="M21" s="4">
        <v>31368.3</v>
      </c>
      <c r="N21" s="4">
        <f t="shared" si="0"/>
        <v>518708</v>
      </c>
      <c r="O21" s="4">
        <f t="shared" si="1"/>
        <v>596375</v>
      </c>
      <c r="P21" s="4">
        <f t="shared" si="2"/>
        <v>328006.25</v>
      </c>
      <c r="Q21" s="40">
        <f t="shared" si="3"/>
        <v>67.102272727272734</v>
      </c>
      <c r="R21" s="31">
        <f t="shared" si="3"/>
        <v>61.761363636363633</v>
      </c>
    </row>
    <row r="22" spans="1:19" x14ac:dyDescent="0.25">
      <c r="A22" s="7">
        <v>20</v>
      </c>
      <c r="B22" s="5">
        <v>45920</v>
      </c>
      <c r="C22" s="2" t="s">
        <v>21</v>
      </c>
      <c r="D22" s="2">
        <v>308100</v>
      </c>
      <c r="E22" s="2">
        <v>328100</v>
      </c>
      <c r="F22" s="2">
        <v>74515</v>
      </c>
      <c r="G22" s="2">
        <v>7650</v>
      </c>
      <c r="H22" s="2">
        <v>371569.6</v>
      </c>
      <c r="I22" s="2">
        <v>64523.199999999997</v>
      </c>
      <c r="J22" s="2">
        <v>45919</v>
      </c>
      <c r="K22" s="2">
        <v>28161.599999999999</v>
      </c>
      <c r="L22" s="4">
        <v>28800</v>
      </c>
      <c r="M22" s="4">
        <v>30361.599999999999</v>
      </c>
      <c r="N22" s="4">
        <f t="shared" si="0"/>
        <v>486966</v>
      </c>
      <c r="O22" s="4">
        <f t="shared" si="1"/>
        <v>561685</v>
      </c>
      <c r="P22" s="4">
        <f t="shared" si="2"/>
        <v>308926.75</v>
      </c>
      <c r="Q22" s="40">
        <f t="shared" si="3"/>
        <v>58.352272727272727</v>
      </c>
      <c r="R22" s="31">
        <f t="shared" si="3"/>
        <v>62.140151515151523</v>
      </c>
    </row>
    <row r="23" spans="1:19" x14ac:dyDescent="0.25">
      <c r="A23" s="7">
        <v>21</v>
      </c>
      <c r="B23" s="5">
        <v>45921</v>
      </c>
      <c r="C23" s="2" t="s">
        <v>21</v>
      </c>
      <c r="D23" s="2">
        <v>366200</v>
      </c>
      <c r="E23" s="2">
        <v>286800</v>
      </c>
      <c r="F23" s="2">
        <v>11760</v>
      </c>
      <c r="G23" s="2">
        <v>80265</v>
      </c>
      <c r="H23" s="2">
        <v>508583.4</v>
      </c>
      <c r="I23" s="2">
        <v>74127.8</v>
      </c>
      <c r="J23" s="2">
        <v>51366</v>
      </c>
      <c r="K23" s="2">
        <v>31663.9</v>
      </c>
      <c r="L23" s="4">
        <v>26500</v>
      </c>
      <c r="M23" s="4">
        <v>29263.9</v>
      </c>
      <c r="N23" s="4">
        <f t="shared" si="0"/>
        <v>563374</v>
      </c>
      <c r="O23" s="4">
        <f t="shared" si="1"/>
        <v>641240</v>
      </c>
      <c r="P23" s="4">
        <f t="shared" si="2"/>
        <v>352682</v>
      </c>
      <c r="Q23" s="40">
        <f t="shared" si="3"/>
        <v>69.356060606060609</v>
      </c>
      <c r="R23" s="31">
        <f t="shared" si="3"/>
        <v>54.31818181818182</v>
      </c>
    </row>
    <row r="24" spans="1:19" x14ac:dyDescent="0.25">
      <c r="A24" s="7">
        <v>22</v>
      </c>
      <c r="B24" s="5">
        <v>45922</v>
      </c>
      <c r="C24" s="2" t="s">
        <v>21</v>
      </c>
      <c r="D24" s="2">
        <v>347300</v>
      </c>
      <c r="E24" s="2">
        <v>262400</v>
      </c>
      <c r="F24" s="2">
        <v>51300</v>
      </c>
      <c r="G24" s="2">
        <v>21545</v>
      </c>
      <c r="H24" s="2">
        <v>391224.4</v>
      </c>
      <c r="I24" s="2">
        <v>50474.8</v>
      </c>
      <c r="J24" s="2">
        <v>52471</v>
      </c>
      <c r="K24" s="2">
        <v>33887.4</v>
      </c>
      <c r="L24" s="4">
        <v>22700</v>
      </c>
      <c r="M24" s="4">
        <v>29187.4</v>
      </c>
      <c r="N24" s="4">
        <f t="shared" si="0"/>
        <v>483229</v>
      </c>
      <c r="O24" s="4">
        <f t="shared" si="1"/>
        <v>558400</v>
      </c>
      <c r="P24" s="4">
        <f t="shared" si="2"/>
        <v>307120</v>
      </c>
      <c r="Q24" s="40">
        <f t="shared" si="3"/>
        <v>65.776515151515142</v>
      </c>
      <c r="R24" s="31">
        <f t="shared" si="3"/>
        <v>49.696969696969695</v>
      </c>
    </row>
    <row r="25" spans="1:19" x14ac:dyDescent="0.25">
      <c r="A25" s="7">
        <v>23</v>
      </c>
      <c r="B25" s="5">
        <v>45923</v>
      </c>
      <c r="C25" s="2" t="s">
        <v>21</v>
      </c>
      <c r="D25" s="2">
        <v>402000</v>
      </c>
      <c r="E25" s="2">
        <v>290000</v>
      </c>
      <c r="F25" s="2">
        <v>32135</v>
      </c>
      <c r="G25" s="2">
        <v>46110</v>
      </c>
      <c r="H25" s="2">
        <v>491384</v>
      </c>
      <c r="I25" s="2">
        <v>72628</v>
      </c>
      <c r="J25" s="2">
        <v>52035</v>
      </c>
      <c r="K25" s="2">
        <v>32764</v>
      </c>
      <c r="L25" s="4">
        <v>26300</v>
      </c>
      <c r="M25" s="4">
        <v>30864</v>
      </c>
      <c r="N25" s="4">
        <f t="shared" si="0"/>
        <v>581530</v>
      </c>
      <c r="O25" s="4">
        <f t="shared" si="1"/>
        <v>659865</v>
      </c>
      <c r="P25" s="4">
        <f t="shared" si="2"/>
        <v>362925.75000000006</v>
      </c>
      <c r="Q25" s="40">
        <f t="shared" si="3"/>
        <v>76.13636363636364</v>
      </c>
      <c r="R25" s="31">
        <f t="shared" si="3"/>
        <v>54.924242424242422</v>
      </c>
    </row>
    <row r="26" spans="1:19" x14ac:dyDescent="0.25">
      <c r="A26" s="7">
        <v>24</v>
      </c>
      <c r="B26" s="5">
        <v>45924</v>
      </c>
      <c r="C26" s="2" t="s">
        <v>21</v>
      </c>
      <c r="D26" s="2">
        <v>426800</v>
      </c>
      <c r="E26" s="2">
        <v>282100</v>
      </c>
      <c r="F26" s="2">
        <v>10410</v>
      </c>
      <c r="G26" s="2">
        <v>96555</v>
      </c>
      <c r="H26" s="2">
        <v>580670.6</v>
      </c>
      <c r="I26" s="2">
        <v>73490.2</v>
      </c>
      <c r="J26" s="2">
        <v>53294</v>
      </c>
      <c r="K26" s="2">
        <v>31495.1</v>
      </c>
      <c r="L26" s="4">
        <v>25600</v>
      </c>
      <c r="M26" s="4">
        <v>30495.1</v>
      </c>
      <c r="N26" s="4">
        <f t="shared" si="0"/>
        <v>619596</v>
      </c>
      <c r="O26" s="4">
        <f t="shared" si="1"/>
        <v>698490</v>
      </c>
      <c r="P26" s="4">
        <f t="shared" si="2"/>
        <v>384169.50000000006</v>
      </c>
      <c r="Q26" s="40">
        <f t="shared" si="3"/>
        <v>80.833333333333329</v>
      </c>
      <c r="R26" s="31">
        <f t="shared" si="3"/>
        <v>53.428030303030305</v>
      </c>
    </row>
    <row r="27" spans="1:19" x14ac:dyDescent="0.25">
      <c r="A27" s="7">
        <v>25</v>
      </c>
      <c r="B27" s="5">
        <v>45925</v>
      </c>
      <c r="C27" s="2" t="s">
        <v>21</v>
      </c>
      <c r="D27" s="2">
        <v>417400</v>
      </c>
      <c r="E27" s="2">
        <v>308200</v>
      </c>
      <c r="F27" s="2">
        <v>15640</v>
      </c>
      <c r="G27" s="2">
        <v>79915</v>
      </c>
      <c r="H27" s="2">
        <v>562189.6</v>
      </c>
      <c r="I27" s="2">
        <v>81363.199999999997</v>
      </c>
      <c r="J27" s="2">
        <v>55259</v>
      </c>
      <c r="K27" s="2">
        <v>31681.599999999999</v>
      </c>
      <c r="L27" s="4">
        <v>28500</v>
      </c>
      <c r="M27" s="4">
        <v>30881.599999999999</v>
      </c>
      <c r="N27" s="4">
        <f t="shared" si="0"/>
        <v>626201</v>
      </c>
      <c r="O27" s="4">
        <f t="shared" si="1"/>
        <v>709960</v>
      </c>
      <c r="P27" s="4">
        <f t="shared" si="2"/>
        <v>390478.00000000006</v>
      </c>
      <c r="Q27" s="40">
        <f t="shared" si="3"/>
        <v>79.053030303030297</v>
      </c>
      <c r="R27" s="31">
        <f t="shared" si="3"/>
        <v>58.371212121212125</v>
      </c>
    </row>
    <row r="28" spans="1:19" x14ac:dyDescent="0.25">
      <c r="A28" s="7">
        <v>26</v>
      </c>
      <c r="B28" s="5">
        <v>45926</v>
      </c>
      <c r="C28" s="2" t="s">
        <v>21</v>
      </c>
      <c r="D28" s="2">
        <v>400100</v>
      </c>
      <c r="E28" s="2">
        <v>317900</v>
      </c>
      <c r="F28" s="2">
        <v>52765</v>
      </c>
      <c r="G28" s="2">
        <v>16825</v>
      </c>
      <c r="H28" s="2">
        <v>471463.8</v>
      </c>
      <c r="I28" s="2">
        <v>64754.6</v>
      </c>
      <c r="J28" s="2">
        <v>54487</v>
      </c>
      <c r="K28" s="2">
        <v>31877.3</v>
      </c>
      <c r="L28" s="4">
        <v>27200</v>
      </c>
      <c r="M28" s="4">
        <v>32277.3</v>
      </c>
      <c r="N28" s="4">
        <f t="shared" si="0"/>
        <v>583548</v>
      </c>
      <c r="O28" s="4">
        <f t="shared" si="1"/>
        <v>665235</v>
      </c>
      <c r="P28" s="4">
        <f t="shared" si="2"/>
        <v>365879.25000000006</v>
      </c>
      <c r="Q28" s="40">
        <f t="shared" si="3"/>
        <v>75.776515151515156</v>
      </c>
      <c r="R28" s="31">
        <f t="shared" si="3"/>
        <v>60.208333333333329</v>
      </c>
    </row>
    <row r="29" spans="1:19" x14ac:dyDescent="0.25">
      <c r="A29" s="7">
        <v>27</v>
      </c>
      <c r="B29" s="5">
        <v>45927</v>
      </c>
      <c r="C29" s="2" t="s">
        <v>21</v>
      </c>
      <c r="D29" s="2">
        <v>408300</v>
      </c>
      <c r="E29" s="2">
        <v>316200</v>
      </c>
      <c r="F29" s="2">
        <v>4645</v>
      </c>
      <c r="G29" s="2">
        <v>89890</v>
      </c>
      <c r="H29" s="2">
        <v>566944.4</v>
      </c>
      <c r="I29" s="2">
        <v>99614.8</v>
      </c>
      <c r="J29" s="2">
        <v>53371</v>
      </c>
      <c r="K29" s="2">
        <v>31207.4</v>
      </c>
      <c r="L29" s="4">
        <v>27100</v>
      </c>
      <c r="M29" s="4">
        <v>31507.4</v>
      </c>
      <c r="N29" s="4">
        <f t="shared" si="0"/>
        <v>639384</v>
      </c>
      <c r="O29" s="4">
        <f t="shared" si="1"/>
        <v>719855</v>
      </c>
      <c r="P29" s="4">
        <f t="shared" si="2"/>
        <v>395920.25000000006</v>
      </c>
      <c r="Q29" s="40">
        <f t="shared" si="3"/>
        <v>77.329545454545453</v>
      </c>
      <c r="R29" s="31">
        <f t="shared" si="3"/>
        <v>59.88636363636364</v>
      </c>
    </row>
    <row r="30" spans="1:19" s="19" customFormat="1" x14ac:dyDescent="0.25">
      <c r="A30" s="7">
        <v>28</v>
      </c>
      <c r="B30" s="5">
        <v>45928</v>
      </c>
      <c r="C30" s="33" t="s">
        <v>21</v>
      </c>
      <c r="D30" s="33">
        <v>380300</v>
      </c>
      <c r="E30" s="33">
        <v>331500</v>
      </c>
      <c r="F30" s="33">
        <v>12595</v>
      </c>
      <c r="G30" s="33">
        <v>63390</v>
      </c>
      <c r="H30" s="33">
        <v>521225.8</v>
      </c>
      <c r="I30" s="33">
        <v>98606.6</v>
      </c>
      <c r="J30" s="33">
        <v>51152</v>
      </c>
      <c r="K30" s="33">
        <v>31754.3</v>
      </c>
      <c r="L30" s="35">
        <v>27500</v>
      </c>
      <c r="M30" s="36">
        <v>32354.3</v>
      </c>
      <c r="N30" s="4">
        <f t="shared" si="0"/>
        <v>620553</v>
      </c>
      <c r="O30" s="4">
        <f t="shared" si="1"/>
        <v>699205</v>
      </c>
      <c r="P30" s="4">
        <f t="shared" si="2"/>
        <v>384562.75000000006</v>
      </c>
      <c r="Q30" s="41">
        <f t="shared" si="3"/>
        <v>72.026515151515142</v>
      </c>
      <c r="R30" s="38">
        <f t="shared" si="3"/>
        <v>62.784090909090907</v>
      </c>
      <c r="S30"/>
    </row>
    <row r="31" spans="1:19" x14ac:dyDescent="0.25">
      <c r="A31" s="7">
        <v>29</v>
      </c>
      <c r="B31" s="5">
        <v>45929</v>
      </c>
      <c r="C31" s="2" t="s">
        <v>21</v>
      </c>
      <c r="D31" s="2">
        <v>371000</v>
      </c>
      <c r="E31" s="2">
        <v>326800</v>
      </c>
      <c r="F31" s="2">
        <v>22040</v>
      </c>
      <c r="G31" s="2">
        <v>45995</v>
      </c>
      <c r="H31" s="2">
        <v>497252.4</v>
      </c>
      <c r="I31" s="2">
        <v>82050.8</v>
      </c>
      <c r="J31" s="2">
        <v>52501</v>
      </c>
      <c r="K31" s="2">
        <v>31275.4</v>
      </c>
      <c r="L31" s="4">
        <v>27000</v>
      </c>
      <c r="M31" s="4">
        <v>31675.4</v>
      </c>
      <c r="N31" s="4">
        <f t="shared" si="0"/>
        <v>596259</v>
      </c>
      <c r="O31" s="4">
        <f t="shared" si="1"/>
        <v>675760</v>
      </c>
      <c r="P31" s="4">
        <f t="shared" si="2"/>
        <v>371668.00000000006</v>
      </c>
      <c r="Q31" s="40">
        <f>(D31/528000)*100</f>
        <v>70.265151515151516</v>
      </c>
      <c r="R31" s="31">
        <f t="shared" ref="R31:R32" si="4">(E31/528000)*100</f>
        <v>61.893939393939391</v>
      </c>
    </row>
    <row r="32" spans="1:19" x14ac:dyDescent="0.25">
      <c r="A32" s="7">
        <v>30</v>
      </c>
      <c r="B32" s="5">
        <v>45930</v>
      </c>
      <c r="C32" s="2" t="s">
        <v>21</v>
      </c>
      <c r="D32" s="2">
        <v>370600</v>
      </c>
      <c r="E32" s="2">
        <v>320400</v>
      </c>
      <c r="F32" s="2">
        <v>28160</v>
      </c>
      <c r="G32" s="2">
        <v>37525</v>
      </c>
      <c r="H32" s="2">
        <v>463395</v>
      </c>
      <c r="I32" s="2">
        <v>92865</v>
      </c>
      <c r="J32" s="2">
        <v>51640</v>
      </c>
      <c r="K32" s="2">
        <v>31432.5</v>
      </c>
      <c r="L32" s="4">
        <v>28800</v>
      </c>
      <c r="M32" s="4">
        <v>32232.5</v>
      </c>
      <c r="N32" s="4">
        <f t="shared" si="0"/>
        <v>582400</v>
      </c>
      <c r="O32" s="4">
        <f t="shared" si="1"/>
        <v>662840</v>
      </c>
      <c r="P32" s="4">
        <f t="shared" si="2"/>
        <v>364562.00000000006</v>
      </c>
      <c r="Q32" s="40">
        <f>(D32/528000)*100</f>
        <v>70.189393939393938</v>
      </c>
      <c r="R32" s="31">
        <f t="shared" si="4"/>
        <v>60.68181818181818</v>
      </c>
    </row>
    <row r="33" spans="1:18" x14ac:dyDescent="0.25">
      <c r="A33" s="2"/>
      <c r="B33" s="2"/>
      <c r="C33" s="8" t="s">
        <v>15</v>
      </c>
      <c r="D33" s="8">
        <f t="shared" ref="D33:P33" si="5">SUM(D3:D32)</f>
        <v>11931100</v>
      </c>
      <c r="E33" s="8">
        <f t="shared" si="5"/>
        <v>9518960.3000000007</v>
      </c>
      <c r="F33" s="8">
        <f t="shared" si="5"/>
        <v>847745</v>
      </c>
      <c r="G33" s="8">
        <f t="shared" si="5"/>
        <v>1454140</v>
      </c>
      <c r="H33" s="8">
        <f t="shared" si="5"/>
        <v>15352060.600000001</v>
      </c>
      <c r="I33" s="23">
        <f t="shared" si="5"/>
        <v>2470751.3999999994</v>
      </c>
      <c r="J33" s="8">
        <f t="shared" si="5"/>
        <v>1571728</v>
      </c>
      <c r="K33" s="8">
        <f t="shared" si="5"/>
        <v>919076.40000000014</v>
      </c>
      <c r="L33" s="8">
        <f t="shared" si="5"/>
        <v>805560.2</v>
      </c>
      <c r="M33" s="8">
        <f t="shared" si="5"/>
        <v>937276.70000000007</v>
      </c>
      <c r="N33" s="8">
        <f t="shared" si="5"/>
        <v>18225027.100000001</v>
      </c>
      <c r="O33" s="8">
        <f t="shared" si="5"/>
        <v>20602315.300000001</v>
      </c>
      <c r="P33" s="8">
        <f t="shared" si="5"/>
        <v>11331273.415000001</v>
      </c>
      <c r="Q33" s="13">
        <f>SUM(Q3:Q32)/31</f>
        <v>72.892839687194538</v>
      </c>
      <c r="R33" s="13">
        <f>SUM(R3:R32)/31</f>
        <v>58.155915811339206</v>
      </c>
    </row>
    <row r="34" spans="1:18" x14ac:dyDescent="0.25">
      <c r="A34" s="2"/>
      <c r="B34" s="2"/>
      <c r="C34" s="8" t="s">
        <v>16</v>
      </c>
      <c r="D34" s="2">
        <v>11931100</v>
      </c>
      <c r="E34" s="2"/>
      <c r="F34" s="2">
        <v>845931</v>
      </c>
      <c r="G34" s="2">
        <v>1477500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x14ac:dyDescent="0.25">
      <c r="A35" s="2"/>
      <c r="B35" s="2"/>
      <c r="C35" s="8" t="s">
        <v>17</v>
      </c>
      <c r="D35" s="2">
        <f>D33-D34</f>
        <v>0</v>
      </c>
      <c r="E35" s="2"/>
      <c r="F35" s="2"/>
      <c r="G35" s="2"/>
      <c r="H35" s="60">
        <v>25176</v>
      </c>
      <c r="I35" s="61"/>
      <c r="J35" s="61"/>
      <c r="K35" s="61"/>
      <c r="L35" s="61"/>
      <c r="M35" s="62"/>
      <c r="N35" s="2"/>
      <c r="O35" s="2"/>
      <c r="P35" s="2"/>
      <c r="Q35" s="2"/>
      <c r="R35" s="2"/>
    </row>
    <row r="36" spans="1:18" x14ac:dyDescent="0.25">
      <c r="A36" s="2"/>
      <c r="B36" s="2"/>
      <c r="C36" s="8" t="s">
        <v>18</v>
      </c>
      <c r="D36" s="2"/>
      <c r="E36" s="2"/>
      <c r="F36" s="2"/>
      <c r="G36" s="2"/>
      <c r="H36" s="2">
        <v>15364648.6</v>
      </c>
      <c r="I36" s="2">
        <v>2475786.6</v>
      </c>
      <c r="J36" s="2"/>
      <c r="K36" s="2">
        <v>922852.8</v>
      </c>
      <c r="L36" s="2"/>
      <c r="M36" s="2">
        <v>941053.1</v>
      </c>
      <c r="N36" s="2"/>
      <c r="O36" s="2"/>
      <c r="P36" s="2"/>
      <c r="Q36" s="2"/>
      <c r="R36" s="2"/>
    </row>
    <row r="37" spans="1:18" x14ac:dyDescent="0.25">
      <c r="A37" s="2"/>
      <c r="B37" s="2"/>
      <c r="C37" s="8" t="s">
        <v>19</v>
      </c>
      <c r="D37" s="2">
        <v>689739.6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 x14ac:dyDescent="0.25">
      <c r="A38" s="2"/>
      <c r="B38" s="2"/>
      <c r="C38" s="8" t="s">
        <v>20</v>
      </c>
      <c r="D38" s="2">
        <v>701670.7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 x14ac:dyDescent="0.25">
      <c r="A39" s="1"/>
      <c r="B39" s="1"/>
      <c r="C39" s="1"/>
      <c r="D39" s="1">
        <f>D38-D37</f>
        <v>11931.099999999977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x14ac:dyDescent="0.25">
      <c r="A41" s="1"/>
      <c r="B41" s="1"/>
      <c r="C41" s="1"/>
      <c r="D41" s="1"/>
      <c r="E41" s="1"/>
      <c r="F41" s="1"/>
      <c r="G41" s="1"/>
      <c r="H41" s="1"/>
      <c r="I41" s="24"/>
      <c r="J41" s="1"/>
      <c r="K41" s="1"/>
      <c r="L41" s="1"/>
      <c r="M41" s="1"/>
      <c r="N41" s="1"/>
      <c r="O41" s="1"/>
      <c r="P41" s="1"/>
      <c r="Q41" s="1"/>
      <c r="R41" s="1"/>
    </row>
    <row r="42" spans="1:18" x14ac:dyDescent="0.25">
      <c r="A42" s="1"/>
      <c r="B42" s="1"/>
      <c r="C42" s="1"/>
      <c r="D42" s="1"/>
      <c r="E42" s="1"/>
      <c r="F42" s="1"/>
      <c r="G42" s="24"/>
      <c r="H42" s="1"/>
      <c r="I42" s="43"/>
      <c r="J42" s="1"/>
      <c r="K42" s="1"/>
      <c r="L42" s="1"/>
      <c r="M42" s="1"/>
      <c r="N42" s="1"/>
      <c r="O42" s="1"/>
      <c r="P42" s="1"/>
      <c r="Q42" s="1"/>
      <c r="R42" s="1"/>
    </row>
    <row r="43" spans="1:18" x14ac:dyDescent="0.25">
      <c r="A43" s="1"/>
      <c r="B43" s="1"/>
      <c r="C43" s="1"/>
      <c r="D43" s="1"/>
      <c r="E43" s="1"/>
      <c r="F43" s="1"/>
      <c r="G43" s="1"/>
      <c r="H43" s="1"/>
      <c r="I43" s="32"/>
      <c r="J43" s="1"/>
      <c r="K43" s="1"/>
      <c r="L43" s="1"/>
      <c r="M43" s="1"/>
      <c r="N43" s="1"/>
      <c r="O43" s="1"/>
      <c r="P43" s="1"/>
      <c r="Q43" s="1"/>
      <c r="R43" s="1"/>
    </row>
    <row r="44" spans="1:18" x14ac:dyDescent="0.25">
      <c r="A44" s="1"/>
      <c r="B44" s="1"/>
      <c r="C44" s="1"/>
      <c r="D44" s="1"/>
      <c r="E44" s="1"/>
      <c r="F44" s="24"/>
      <c r="G44" s="1"/>
      <c r="H44" s="1"/>
      <c r="I44" s="32"/>
      <c r="J44" s="1"/>
      <c r="K44" s="1"/>
      <c r="L44" s="1"/>
      <c r="M44" s="1"/>
      <c r="N44" s="1"/>
      <c r="O44" s="1"/>
      <c r="P44" s="1"/>
      <c r="Q44" s="1"/>
      <c r="R44" s="1"/>
    </row>
    <row r="45" spans="1:18" x14ac:dyDescent="0.25">
      <c r="A45" s="1"/>
      <c r="B45" s="1"/>
      <c r="C45" s="1"/>
      <c r="D45" s="1"/>
      <c r="E45" s="1"/>
      <c r="F45" s="1"/>
      <c r="G45" s="1"/>
      <c r="H45" s="1"/>
      <c r="I45" s="32"/>
      <c r="J45" s="1"/>
      <c r="K45" s="1"/>
      <c r="L45" s="1"/>
      <c r="M45" s="1"/>
      <c r="N45" s="1"/>
      <c r="O45" s="1"/>
      <c r="P45" s="1"/>
      <c r="Q45" s="1"/>
      <c r="R45" s="1"/>
    </row>
    <row r="46" spans="1:18" x14ac:dyDescent="0.25">
      <c r="A46" s="1"/>
      <c r="B46" s="1"/>
      <c r="C46" s="1"/>
      <c r="D46" s="1"/>
      <c r="E46" s="1"/>
      <c r="F46" s="1"/>
      <c r="G46" s="1"/>
      <c r="H46" s="1"/>
      <c r="I46" s="32"/>
      <c r="J46" s="1"/>
      <c r="K46" s="1"/>
      <c r="L46" s="1"/>
      <c r="M46" s="1"/>
      <c r="N46" s="1"/>
      <c r="O46" s="1"/>
      <c r="P46" s="1"/>
      <c r="Q46" s="1"/>
      <c r="R46" s="1"/>
    </row>
    <row r="47" spans="1:18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</sheetData>
  <mergeCells count="2">
    <mergeCell ref="A1:R1"/>
    <mergeCell ref="H35:M35"/>
  </mergeCells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49"/>
  <sheetViews>
    <sheetView topLeftCell="A13" zoomScaleNormal="100" workbookViewId="0">
      <selection activeCell="C29" sqref="C29"/>
    </sheetView>
  </sheetViews>
  <sheetFormatPr defaultRowHeight="15" x14ac:dyDescent="0.25"/>
  <cols>
    <col min="1" max="1" width="5.5703125" bestFit="1" customWidth="1"/>
    <col min="2" max="2" width="10.140625" customWidth="1"/>
    <col min="3" max="3" width="18" customWidth="1"/>
    <col min="4" max="4" width="10.42578125" customWidth="1"/>
    <col min="5" max="5" width="13.140625" customWidth="1"/>
    <col min="6" max="6" width="13" customWidth="1"/>
    <col min="7" max="7" width="11.42578125" customWidth="1"/>
    <col min="8" max="8" width="12.7109375" customWidth="1"/>
    <col min="9" max="9" width="13.140625" customWidth="1"/>
    <col min="10" max="11" width="9.85546875" customWidth="1"/>
    <col min="12" max="12" width="11.140625" customWidth="1"/>
    <col min="13" max="13" width="9.7109375" customWidth="1"/>
    <col min="14" max="14" width="8.7109375" customWidth="1"/>
    <col min="15" max="15" width="13" customWidth="1"/>
    <col min="16" max="16" width="11.5703125" bestFit="1" customWidth="1"/>
    <col min="17" max="17" width="7.42578125" customWidth="1"/>
    <col min="18" max="18" width="9" customWidth="1"/>
  </cols>
  <sheetData>
    <row r="1" spans="1:18" ht="40.5" customHeight="1" thickBot="1" x14ac:dyDescent="0.3">
      <c r="A1" s="66" t="s">
        <v>97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</row>
    <row r="2" spans="1:18" ht="51.75" customHeight="1" thickBot="1" x14ac:dyDescent="0.3">
      <c r="A2" s="9" t="s">
        <v>0</v>
      </c>
      <c r="B2" s="10" t="s">
        <v>1</v>
      </c>
      <c r="C2" s="10" t="s">
        <v>2</v>
      </c>
      <c r="D2" s="21" t="s">
        <v>56</v>
      </c>
      <c r="E2" s="21" t="s">
        <v>57</v>
      </c>
      <c r="F2" s="21" t="s">
        <v>4</v>
      </c>
      <c r="G2" s="21" t="s">
        <v>5</v>
      </c>
      <c r="H2" s="21" t="s">
        <v>6</v>
      </c>
      <c r="I2" s="21" t="s">
        <v>7</v>
      </c>
      <c r="J2" s="21" t="s">
        <v>64</v>
      </c>
      <c r="K2" s="21" t="s">
        <v>66</v>
      </c>
      <c r="L2" s="21" t="s">
        <v>65</v>
      </c>
      <c r="M2" s="21" t="s">
        <v>67</v>
      </c>
      <c r="N2" s="21" t="s">
        <v>10</v>
      </c>
      <c r="O2" s="21" t="s">
        <v>11</v>
      </c>
      <c r="P2" s="10" t="s">
        <v>12</v>
      </c>
      <c r="Q2" s="29" t="s">
        <v>54</v>
      </c>
      <c r="R2" s="30" t="s">
        <v>55</v>
      </c>
    </row>
    <row r="3" spans="1:18" x14ac:dyDescent="0.25">
      <c r="A3" s="6">
        <v>1</v>
      </c>
      <c r="B3" s="5">
        <v>45870</v>
      </c>
      <c r="C3" s="4" t="s">
        <v>21</v>
      </c>
      <c r="D3" s="4">
        <v>417400</v>
      </c>
      <c r="E3" s="4">
        <v>416000</v>
      </c>
      <c r="F3" s="4">
        <v>26620</v>
      </c>
      <c r="G3" s="4">
        <v>33470</v>
      </c>
      <c r="H3" s="4">
        <v>573406.6</v>
      </c>
      <c r="I3" s="4">
        <v>102702.2</v>
      </c>
      <c r="J3" s="4">
        <v>59539</v>
      </c>
      <c r="K3" s="4">
        <v>35651.1</v>
      </c>
      <c r="L3" s="4">
        <v>31700</v>
      </c>
      <c r="M3" s="4">
        <v>37251.1</v>
      </c>
      <c r="N3" s="4">
        <f>(D3+E3)-F3-J3-L3</f>
        <v>715541</v>
      </c>
      <c r="O3" s="4">
        <f>(D3+E3)-F3</f>
        <v>806780</v>
      </c>
      <c r="P3" s="4">
        <f>O3*0.55</f>
        <v>443729.00000000006</v>
      </c>
      <c r="Q3" s="12">
        <f>(D3/528000)*100</f>
        <v>79.053030303030297</v>
      </c>
      <c r="R3" s="31">
        <f>(E3/528000)*100</f>
        <v>78.787878787878782</v>
      </c>
    </row>
    <row r="4" spans="1:18" x14ac:dyDescent="0.25">
      <c r="A4" s="7">
        <v>2</v>
      </c>
      <c r="B4" s="5">
        <v>45871</v>
      </c>
      <c r="C4" s="2" t="s">
        <v>21</v>
      </c>
      <c r="D4" s="2">
        <v>419200</v>
      </c>
      <c r="E4" s="2">
        <v>420300</v>
      </c>
      <c r="F4" s="2">
        <v>55055</v>
      </c>
      <c r="G4" s="2">
        <v>18840</v>
      </c>
      <c r="H4" s="2">
        <v>536840.6</v>
      </c>
      <c r="I4" s="2">
        <v>99080.2</v>
      </c>
      <c r="J4" s="2">
        <v>58584</v>
      </c>
      <c r="K4" s="2">
        <v>37590.1</v>
      </c>
      <c r="L4" s="4">
        <v>32400</v>
      </c>
      <c r="M4" s="4">
        <v>38790.1</v>
      </c>
      <c r="N4" s="4">
        <f t="shared" ref="N4:N33" si="0">(D4+E4)-F4-J4-L4</f>
        <v>693461</v>
      </c>
      <c r="O4" s="4">
        <f t="shared" ref="O4:O33" si="1">(D4+E4)-F4</f>
        <v>784445</v>
      </c>
      <c r="P4" s="4">
        <f t="shared" ref="P4:P30" si="2">O4*0.55</f>
        <v>431444.75000000006</v>
      </c>
      <c r="Q4" s="12">
        <f>(D4/528000)*100</f>
        <v>79.393939393939391</v>
      </c>
      <c r="R4" s="31">
        <f>(E4/528000)*100</f>
        <v>79.602272727272734</v>
      </c>
    </row>
    <row r="5" spans="1:18" x14ac:dyDescent="0.25">
      <c r="A5" s="7">
        <v>3</v>
      </c>
      <c r="B5" s="5">
        <v>45872</v>
      </c>
      <c r="C5" s="2" t="s">
        <v>21</v>
      </c>
      <c r="D5" s="2">
        <v>379500</v>
      </c>
      <c r="E5" s="2">
        <v>409600</v>
      </c>
      <c r="F5" s="2">
        <v>75460</v>
      </c>
      <c r="G5" s="2">
        <v>6455</v>
      </c>
      <c r="H5" s="2">
        <v>481455.2</v>
      </c>
      <c r="I5" s="2">
        <v>80818.399999999994</v>
      </c>
      <c r="J5" s="2">
        <v>51303</v>
      </c>
      <c r="K5" s="2">
        <v>37109.199999999997</v>
      </c>
      <c r="L5" s="4">
        <v>31100</v>
      </c>
      <c r="M5" s="4">
        <v>38309.199999999997</v>
      </c>
      <c r="N5" s="4">
        <f t="shared" si="0"/>
        <v>631237</v>
      </c>
      <c r="O5" s="4">
        <f t="shared" si="1"/>
        <v>713640</v>
      </c>
      <c r="P5" s="4">
        <f t="shared" si="2"/>
        <v>392502.00000000006</v>
      </c>
      <c r="Q5" s="12">
        <f t="shared" ref="Q5:R30" si="3">(D5/528000)*100</f>
        <v>71.875</v>
      </c>
      <c r="R5" s="31">
        <f t="shared" si="3"/>
        <v>77.575757575757578</v>
      </c>
    </row>
    <row r="6" spans="1:18" x14ac:dyDescent="0.25">
      <c r="A6" s="7">
        <v>4</v>
      </c>
      <c r="B6" s="5">
        <v>45873</v>
      </c>
      <c r="C6" s="2" t="s">
        <v>21</v>
      </c>
      <c r="D6" s="2">
        <v>403900</v>
      </c>
      <c r="E6" s="2">
        <v>368900</v>
      </c>
      <c r="F6" s="2">
        <v>69030</v>
      </c>
      <c r="G6" s="2">
        <v>5300</v>
      </c>
      <c r="H6" s="2">
        <v>478002.6</v>
      </c>
      <c r="I6" s="2">
        <v>72034.2</v>
      </c>
      <c r="J6" s="2">
        <v>55399</v>
      </c>
      <c r="K6" s="2">
        <v>37017.1</v>
      </c>
      <c r="L6" s="4">
        <v>30800</v>
      </c>
      <c r="M6" s="4">
        <v>35817.1</v>
      </c>
      <c r="N6" s="4">
        <f t="shared" si="0"/>
        <v>617571</v>
      </c>
      <c r="O6" s="4">
        <f t="shared" si="1"/>
        <v>703770</v>
      </c>
      <c r="P6" s="4">
        <f t="shared" si="2"/>
        <v>387073.50000000006</v>
      </c>
      <c r="Q6" s="12">
        <f t="shared" si="3"/>
        <v>76.496212121212125</v>
      </c>
      <c r="R6" s="31">
        <f t="shared" si="3"/>
        <v>69.867424242424249</v>
      </c>
    </row>
    <row r="7" spans="1:18" x14ac:dyDescent="0.25">
      <c r="A7" s="7">
        <v>5</v>
      </c>
      <c r="B7" s="5">
        <v>45874</v>
      </c>
      <c r="C7" s="2" t="s">
        <v>21</v>
      </c>
      <c r="D7" s="2">
        <v>439600</v>
      </c>
      <c r="E7" s="2">
        <v>359700</v>
      </c>
      <c r="F7" s="2">
        <v>41660</v>
      </c>
      <c r="G7" s="2">
        <v>20325</v>
      </c>
      <c r="H7" s="2">
        <v>539094.6</v>
      </c>
      <c r="I7" s="2">
        <v>77198.2</v>
      </c>
      <c r="J7" s="2">
        <v>59674</v>
      </c>
      <c r="K7" s="2">
        <v>36799.1</v>
      </c>
      <c r="L7" s="4">
        <v>30500</v>
      </c>
      <c r="M7" s="4">
        <v>34699.1</v>
      </c>
      <c r="N7" s="4">
        <f t="shared" si="0"/>
        <v>667466</v>
      </c>
      <c r="O7" s="4">
        <f t="shared" si="1"/>
        <v>757640</v>
      </c>
      <c r="P7" s="4">
        <f t="shared" si="2"/>
        <v>416702.00000000006</v>
      </c>
      <c r="Q7" s="12">
        <f t="shared" si="3"/>
        <v>83.257575757575751</v>
      </c>
      <c r="R7" s="31">
        <f t="shared" si="3"/>
        <v>68.125</v>
      </c>
    </row>
    <row r="8" spans="1:18" x14ac:dyDescent="0.25">
      <c r="A8" s="7">
        <v>6</v>
      </c>
      <c r="B8" s="5">
        <v>45875</v>
      </c>
      <c r="C8" s="2" t="s">
        <v>21</v>
      </c>
      <c r="D8" s="2">
        <v>419400</v>
      </c>
      <c r="E8" s="2">
        <v>383600</v>
      </c>
      <c r="F8" s="2">
        <v>71810</v>
      </c>
      <c r="G8" s="2">
        <v>11185</v>
      </c>
      <c r="H8" s="2">
        <v>511880.2</v>
      </c>
      <c r="I8" s="2">
        <v>71593.399999999994</v>
      </c>
      <c r="J8" s="2">
        <v>55308</v>
      </c>
      <c r="K8" s="2">
        <v>37146.699999999997</v>
      </c>
      <c r="L8" s="4">
        <v>29100</v>
      </c>
      <c r="M8" s="4">
        <v>37346.699999999997</v>
      </c>
      <c r="N8" s="4">
        <f t="shared" si="0"/>
        <v>646782</v>
      </c>
      <c r="O8" s="4">
        <f t="shared" si="1"/>
        <v>731190</v>
      </c>
      <c r="P8" s="4">
        <f t="shared" si="2"/>
        <v>402154.50000000006</v>
      </c>
      <c r="Q8" s="12">
        <f t="shared" si="3"/>
        <v>79.431818181818187</v>
      </c>
      <c r="R8" s="31">
        <f t="shared" si="3"/>
        <v>72.651515151515156</v>
      </c>
    </row>
    <row r="9" spans="1:18" x14ac:dyDescent="0.25">
      <c r="A9" s="7">
        <v>7</v>
      </c>
      <c r="B9" s="5">
        <v>45876</v>
      </c>
      <c r="C9" s="2" t="s">
        <v>21</v>
      </c>
      <c r="D9" s="2">
        <v>440900</v>
      </c>
      <c r="E9" s="2">
        <v>387600</v>
      </c>
      <c r="F9" s="2">
        <v>39055</v>
      </c>
      <c r="G9" s="2">
        <v>16470</v>
      </c>
      <c r="H9" s="2">
        <v>560956</v>
      </c>
      <c r="I9" s="2">
        <v>81252</v>
      </c>
      <c r="J9" s="2">
        <v>57455</v>
      </c>
      <c r="K9" s="2">
        <v>37676</v>
      </c>
      <c r="L9" s="4">
        <v>30900</v>
      </c>
      <c r="M9" s="4">
        <v>37676</v>
      </c>
      <c r="N9" s="4">
        <f t="shared" si="0"/>
        <v>701090</v>
      </c>
      <c r="O9" s="4">
        <f t="shared" si="1"/>
        <v>789445</v>
      </c>
      <c r="P9" s="4">
        <f t="shared" si="2"/>
        <v>434194.75000000006</v>
      </c>
      <c r="Q9" s="12">
        <f t="shared" si="3"/>
        <v>83.50378787878789</v>
      </c>
      <c r="R9" s="31">
        <f t="shared" si="3"/>
        <v>73.409090909090907</v>
      </c>
    </row>
    <row r="10" spans="1:18" x14ac:dyDescent="0.25">
      <c r="A10" s="7">
        <v>8</v>
      </c>
      <c r="B10" s="5">
        <v>45877</v>
      </c>
      <c r="C10" s="2" t="s">
        <v>21</v>
      </c>
      <c r="D10" s="2">
        <v>438000</v>
      </c>
      <c r="E10" s="2">
        <v>374900</v>
      </c>
      <c r="F10" s="2">
        <v>16760</v>
      </c>
      <c r="G10" s="2">
        <v>34595</v>
      </c>
      <c r="H10" s="2">
        <v>578710.80000000005</v>
      </c>
      <c r="I10" s="2">
        <v>91003.6</v>
      </c>
      <c r="J10" s="2">
        <v>58017</v>
      </c>
      <c r="K10" s="2">
        <v>36151.800000000003</v>
      </c>
      <c r="L10" s="4">
        <v>30300</v>
      </c>
      <c r="M10" s="4">
        <v>36551.800000000003</v>
      </c>
      <c r="N10" s="4">
        <f t="shared" si="0"/>
        <v>707823</v>
      </c>
      <c r="O10" s="4">
        <f t="shared" si="1"/>
        <v>796140</v>
      </c>
      <c r="P10" s="4">
        <f t="shared" si="2"/>
        <v>437877.00000000006</v>
      </c>
      <c r="Q10" s="12">
        <f t="shared" si="3"/>
        <v>82.954545454545453</v>
      </c>
      <c r="R10" s="31">
        <f t="shared" si="3"/>
        <v>71.00378787878789</v>
      </c>
    </row>
    <row r="11" spans="1:18" x14ac:dyDescent="0.25">
      <c r="A11" s="7">
        <v>9</v>
      </c>
      <c r="B11" s="5">
        <v>45878</v>
      </c>
      <c r="C11" s="2" t="s">
        <v>21</v>
      </c>
      <c r="D11" s="2">
        <v>433000</v>
      </c>
      <c r="E11" s="2">
        <v>395300</v>
      </c>
      <c r="F11" s="2">
        <v>24945</v>
      </c>
      <c r="G11" s="2">
        <v>27640</v>
      </c>
      <c r="H11" s="2">
        <v>578386.6</v>
      </c>
      <c r="I11" s="2">
        <v>91562.2</v>
      </c>
      <c r="J11" s="2">
        <v>58984</v>
      </c>
      <c r="K11" s="2">
        <v>33831.1</v>
      </c>
      <c r="L11" s="4">
        <v>31100</v>
      </c>
      <c r="M11" s="4">
        <v>37131.1</v>
      </c>
      <c r="N11" s="4">
        <f t="shared" si="0"/>
        <v>713271</v>
      </c>
      <c r="O11" s="4">
        <f t="shared" si="1"/>
        <v>803355</v>
      </c>
      <c r="P11" s="4">
        <f t="shared" si="2"/>
        <v>441845.25000000006</v>
      </c>
      <c r="Q11" s="12">
        <f t="shared" si="3"/>
        <v>82.007575757575751</v>
      </c>
      <c r="R11" s="31">
        <f t="shared" si="3"/>
        <v>74.867424242424235</v>
      </c>
    </row>
    <row r="12" spans="1:18" x14ac:dyDescent="0.25">
      <c r="A12" s="7">
        <v>10</v>
      </c>
      <c r="B12" s="5">
        <v>45879</v>
      </c>
      <c r="C12" s="2" t="s">
        <v>21</v>
      </c>
      <c r="D12" s="2">
        <v>418200</v>
      </c>
      <c r="E12" s="2">
        <v>410900</v>
      </c>
      <c r="F12" s="2">
        <v>29850</v>
      </c>
      <c r="G12" s="2">
        <v>21410</v>
      </c>
      <c r="H12" s="2">
        <v>572508.4</v>
      </c>
      <c r="I12" s="2">
        <v>87202.8</v>
      </c>
      <c r="J12" s="2">
        <v>59146</v>
      </c>
      <c r="K12" s="2">
        <v>33651.4</v>
      </c>
      <c r="L12" s="4">
        <v>31500</v>
      </c>
      <c r="M12" s="4">
        <v>36651.4</v>
      </c>
      <c r="N12" s="4">
        <f t="shared" si="0"/>
        <v>708604</v>
      </c>
      <c r="O12" s="4">
        <f t="shared" si="1"/>
        <v>799250</v>
      </c>
      <c r="P12" s="4">
        <f t="shared" si="2"/>
        <v>439587.50000000006</v>
      </c>
      <c r="Q12" s="12">
        <f t="shared" si="3"/>
        <v>79.204545454545453</v>
      </c>
      <c r="R12" s="31">
        <f t="shared" si="3"/>
        <v>77.821969696969688</v>
      </c>
    </row>
    <row r="13" spans="1:18" x14ac:dyDescent="0.25">
      <c r="A13" s="7">
        <v>11</v>
      </c>
      <c r="B13" s="5">
        <v>45880</v>
      </c>
      <c r="C13" s="2" t="s">
        <v>21</v>
      </c>
      <c r="D13" s="2">
        <v>347500</v>
      </c>
      <c r="E13" s="2">
        <v>407500</v>
      </c>
      <c r="F13" s="2">
        <v>39345</v>
      </c>
      <c r="G13" s="2">
        <v>17415</v>
      </c>
      <c r="H13" s="2">
        <v>515764.6</v>
      </c>
      <c r="I13" s="2">
        <v>61588.2</v>
      </c>
      <c r="J13" s="2">
        <v>53629</v>
      </c>
      <c r="K13" s="2">
        <v>32144.1</v>
      </c>
      <c r="L13" s="4">
        <v>32600</v>
      </c>
      <c r="M13" s="4">
        <v>37344.1</v>
      </c>
      <c r="N13" s="4">
        <f t="shared" si="0"/>
        <v>629426</v>
      </c>
      <c r="O13" s="4">
        <f t="shared" si="1"/>
        <v>715655</v>
      </c>
      <c r="P13" s="4">
        <f t="shared" si="2"/>
        <v>393610.25000000006</v>
      </c>
      <c r="Q13" s="12">
        <f t="shared" si="3"/>
        <v>65.814393939393938</v>
      </c>
      <c r="R13" s="31">
        <f t="shared" si="3"/>
        <v>77.178030303030297</v>
      </c>
    </row>
    <row r="14" spans="1:18" x14ac:dyDescent="0.25">
      <c r="A14" s="7">
        <v>12</v>
      </c>
      <c r="B14" s="5">
        <v>45881</v>
      </c>
      <c r="C14" s="2" t="s">
        <v>21</v>
      </c>
      <c r="D14" s="2">
        <v>339900</v>
      </c>
      <c r="E14" s="2">
        <v>407600</v>
      </c>
      <c r="F14" s="2">
        <v>82330</v>
      </c>
      <c r="G14" s="2">
        <v>10255</v>
      </c>
      <c r="H14" s="2">
        <v>464368.8</v>
      </c>
      <c r="I14" s="2">
        <v>57589.599999999999</v>
      </c>
      <c r="J14" s="2">
        <v>52477</v>
      </c>
      <c r="K14" s="2">
        <v>30394.799999999999</v>
      </c>
      <c r="L14" s="4">
        <v>32400</v>
      </c>
      <c r="M14" s="4">
        <v>38194.800000000003</v>
      </c>
      <c r="N14" s="4">
        <f t="shared" si="0"/>
        <v>580293</v>
      </c>
      <c r="O14" s="4">
        <f t="shared" si="1"/>
        <v>665170</v>
      </c>
      <c r="P14" s="4">
        <f t="shared" si="2"/>
        <v>365843.50000000006</v>
      </c>
      <c r="Q14" s="12">
        <f t="shared" si="3"/>
        <v>64.375</v>
      </c>
      <c r="R14" s="31">
        <f t="shared" si="3"/>
        <v>77.196969696969703</v>
      </c>
    </row>
    <row r="15" spans="1:18" x14ac:dyDescent="0.25">
      <c r="A15" s="7">
        <v>13</v>
      </c>
      <c r="B15" s="5">
        <v>45882</v>
      </c>
      <c r="C15" s="2" t="s">
        <v>21</v>
      </c>
      <c r="D15" s="2">
        <v>369400</v>
      </c>
      <c r="E15" s="2">
        <v>412600</v>
      </c>
      <c r="F15" s="2">
        <v>47105</v>
      </c>
      <c r="G15" s="2">
        <v>20905</v>
      </c>
      <c r="H15" s="2">
        <v>511604.6</v>
      </c>
      <c r="I15" s="2">
        <v>88868.2</v>
      </c>
      <c r="J15" s="2">
        <v>56059</v>
      </c>
      <c r="K15" s="2">
        <v>29834.1</v>
      </c>
      <c r="L15" s="4">
        <v>31600</v>
      </c>
      <c r="M15" s="4">
        <v>37834.1</v>
      </c>
      <c r="N15" s="4">
        <f t="shared" si="0"/>
        <v>647236</v>
      </c>
      <c r="O15" s="4">
        <f t="shared" si="1"/>
        <v>734895</v>
      </c>
      <c r="P15" s="4">
        <f t="shared" si="2"/>
        <v>404192.25000000006</v>
      </c>
      <c r="Q15" s="12">
        <f t="shared" si="3"/>
        <v>69.962121212121204</v>
      </c>
      <c r="R15" s="31">
        <f t="shared" si="3"/>
        <v>78.143939393939405</v>
      </c>
    </row>
    <row r="16" spans="1:18" x14ac:dyDescent="0.25">
      <c r="A16" s="7">
        <v>14</v>
      </c>
      <c r="B16" s="5">
        <v>45883</v>
      </c>
      <c r="C16" s="2" t="s">
        <v>21</v>
      </c>
      <c r="D16" s="2">
        <v>349400</v>
      </c>
      <c r="E16" s="2">
        <v>406300</v>
      </c>
      <c r="F16" s="2">
        <v>44980</v>
      </c>
      <c r="G16" s="2">
        <v>18130</v>
      </c>
      <c r="H16" s="2">
        <v>490753.4</v>
      </c>
      <c r="I16" s="2">
        <v>89117.8</v>
      </c>
      <c r="J16" s="2">
        <v>51861</v>
      </c>
      <c r="K16" s="2">
        <v>28658.9</v>
      </c>
      <c r="L16" s="4">
        <v>30800</v>
      </c>
      <c r="M16" s="4">
        <v>37658.9</v>
      </c>
      <c r="N16" s="4">
        <f t="shared" si="0"/>
        <v>628059</v>
      </c>
      <c r="O16" s="4">
        <f t="shared" si="1"/>
        <v>710720</v>
      </c>
      <c r="P16" s="4">
        <f t="shared" si="2"/>
        <v>390896.00000000006</v>
      </c>
      <c r="Q16" s="12">
        <f t="shared" si="3"/>
        <v>66.174242424242422</v>
      </c>
      <c r="R16" s="31">
        <f t="shared" si="3"/>
        <v>76.950757575757578</v>
      </c>
    </row>
    <row r="17" spans="1:19" x14ac:dyDescent="0.25">
      <c r="A17" s="7">
        <v>15</v>
      </c>
      <c r="B17" s="5">
        <v>45884</v>
      </c>
      <c r="C17" s="2" t="s">
        <v>21</v>
      </c>
      <c r="D17" s="2">
        <v>371600</v>
      </c>
      <c r="E17" s="2">
        <v>410600</v>
      </c>
      <c r="F17" s="2">
        <v>30295</v>
      </c>
      <c r="G17" s="2">
        <v>26640</v>
      </c>
      <c r="H17" s="2">
        <v>526768</v>
      </c>
      <c r="I17" s="2">
        <v>102556</v>
      </c>
      <c r="J17" s="2">
        <v>52665</v>
      </c>
      <c r="K17" s="2">
        <v>27878</v>
      </c>
      <c r="L17" s="4">
        <v>31500</v>
      </c>
      <c r="M17" s="4">
        <v>37178</v>
      </c>
      <c r="N17" s="4">
        <f t="shared" si="0"/>
        <v>667740</v>
      </c>
      <c r="O17" s="4">
        <f t="shared" si="1"/>
        <v>751905</v>
      </c>
      <c r="P17" s="4">
        <f t="shared" si="2"/>
        <v>413547.75000000006</v>
      </c>
      <c r="Q17" s="12">
        <f t="shared" si="3"/>
        <v>70.378787878787875</v>
      </c>
      <c r="R17" s="31">
        <f t="shared" si="3"/>
        <v>77.765151515151516</v>
      </c>
    </row>
    <row r="18" spans="1:19" x14ac:dyDescent="0.25">
      <c r="A18" s="7">
        <v>16</v>
      </c>
      <c r="B18" s="5">
        <v>45885</v>
      </c>
      <c r="C18" s="2" t="s">
        <v>21</v>
      </c>
      <c r="D18" s="2">
        <v>14900</v>
      </c>
      <c r="E18" s="2">
        <v>380800</v>
      </c>
      <c r="F18" s="2">
        <v>1615</v>
      </c>
      <c r="G18" s="2">
        <v>224965</v>
      </c>
      <c r="H18" s="2">
        <v>432722.2</v>
      </c>
      <c r="I18" s="2">
        <v>80407.399999999994</v>
      </c>
      <c r="J18" s="2">
        <v>17213</v>
      </c>
      <c r="K18" s="2">
        <v>19303.7</v>
      </c>
      <c r="L18" s="4">
        <v>30900</v>
      </c>
      <c r="M18" s="4">
        <v>38503.699999999997</v>
      </c>
      <c r="N18" s="4">
        <f t="shared" si="0"/>
        <v>345972</v>
      </c>
      <c r="O18" s="4">
        <f t="shared" si="1"/>
        <v>394085</v>
      </c>
      <c r="P18" s="4">
        <f t="shared" si="2"/>
        <v>216746.75000000003</v>
      </c>
      <c r="Q18" s="12">
        <f t="shared" si="3"/>
        <v>2.8219696969696972</v>
      </c>
      <c r="R18" s="31">
        <f t="shared" si="3"/>
        <v>72.121212121212125</v>
      </c>
    </row>
    <row r="19" spans="1:19" x14ac:dyDescent="0.25">
      <c r="A19" s="7">
        <v>17</v>
      </c>
      <c r="B19" s="5">
        <v>45886</v>
      </c>
      <c r="C19" s="2" t="s">
        <v>21</v>
      </c>
      <c r="D19" s="2">
        <v>0</v>
      </c>
      <c r="E19" s="2">
        <v>415200</v>
      </c>
      <c r="F19" s="2">
        <v>0</v>
      </c>
      <c r="G19" s="2">
        <v>221535</v>
      </c>
      <c r="H19" s="2">
        <v>483875.6</v>
      </c>
      <c r="I19" s="2">
        <v>58125.2</v>
      </c>
      <c r="J19" s="2">
        <v>9209</v>
      </c>
      <c r="K19" s="2">
        <v>13662.6</v>
      </c>
      <c r="L19" s="4">
        <v>32300</v>
      </c>
      <c r="M19" s="4">
        <v>39562.6</v>
      </c>
      <c r="N19" s="4">
        <f t="shared" si="0"/>
        <v>373691</v>
      </c>
      <c r="O19" s="4">
        <f t="shared" si="1"/>
        <v>415200</v>
      </c>
      <c r="P19" s="4">
        <f t="shared" si="2"/>
        <v>228360.00000000003</v>
      </c>
      <c r="Q19" s="12">
        <f t="shared" si="3"/>
        <v>0</v>
      </c>
      <c r="R19" s="31">
        <f t="shared" si="3"/>
        <v>78.63636363636364</v>
      </c>
    </row>
    <row r="20" spans="1:19" x14ac:dyDescent="0.25">
      <c r="A20" s="7">
        <v>18</v>
      </c>
      <c r="B20" s="5">
        <v>45887</v>
      </c>
      <c r="C20" s="2" t="s">
        <v>21</v>
      </c>
      <c r="D20" s="2">
        <v>0</v>
      </c>
      <c r="E20" s="2">
        <v>385300</v>
      </c>
      <c r="F20" s="2">
        <v>290</v>
      </c>
      <c r="G20" s="2">
        <v>171755</v>
      </c>
      <c r="H20" s="2">
        <v>409295.8</v>
      </c>
      <c r="I20" s="2">
        <v>58198.6</v>
      </c>
      <c r="J20" s="2">
        <v>8172</v>
      </c>
      <c r="K20" s="2">
        <v>12549.3</v>
      </c>
      <c r="L20" s="4">
        <v>30900</v>
      </c>
      <c r="M20" s="4">
        <v>37649.300000000003</v>
      </c>
      <c r="N20" s="4">
        <f t="shared" si="0"/>
        <v>345938</v>
      </c>
      <c r="O20" s="4">
        <f t="shared" si="1"/>
        <v>385010</v>
      </c>
      <c r="P20" s="4">
        <f t="shared" si="2"/>
        <v>211755.50000000003</v>
      </c>
      <c r="Q20" s="12">
        <f t="shared" si="3"/>
        <v>0</v>
      </c>
      <c r="R20" s="31">
        <f t="shared" si="3"/>
        <v>72.973484848484844</v>
      </c>
    </row>
    <row r="21" spans="1:19" x14ac:dyDescent="0.25">
      <c r="A21" s="7">
        <v>19</v>
      </c>
      <c r="B21" s="5">
        <v>45888</v>
      </c>
      <c r="C21" s="2" t="s">
        <v>21</v>
      </c>
      <c r="D21" s="2">
        <v>18700</v>
      </c>
      <c r="E21" s="2">
        <v>377900</v>
      </c>
      <c r="F21" s="2">
        <v>600</v>
      </c>
      <c r="G21" s="2">
        <v>182520</v>
      </c>
      <c r="H21" s="2">
        <v>401182.8</v>
      </c>
      <c r="I21" s="2">
        <v>60827.6</v>
      </c>
      <c r="J21" s="2">
        <v>19782</v>
      </c>
      <c r="K21" s="2">
        <v>29113.8</v>
      </c>
      <c r="L21" s="4">
        <v>30200</v>
      </c>
      <c r="M21" s="4">
        <v>37413.800000000003</v>
      </c>
      <c r="N21" s="4">
        <f t="shared" si="0"/>
        <v>346018</v>
      </c>
      <c r="O21" s="4">
        <f t="shared" si="1"/>
        <v>396000</v>
      </c>
      <c r="P21" s="4">
        <f t="shared" si="2"/>
        <v>217800.00000000003</v>
      </c>
      <c r="Q21" s="12">
        <f t="shared" si="3"/>
        <v>3.5416666666666665</v>
      </c>
      <c r="R21" s="31">
        <f t="shared" si="3"/>
        <v>71.571969696969688</v>
      </c>
    </row>
    <row r="22" spans="1:19" x14ac:dyDescent="0.25">
      <c r="A22" s="7">
        <v>20</v>
      </c>
      <c r="B22" s="5">
        <v>45889</v>
      </c>
      <c r="C22" s="2" t="s">
        <v>21</v>
      </c>
      <c r="D22" s="2">
        <v>94600</v>
      </c>
      <c r="E22" s="2">
        <v>364100</v>
      </c>
      <c r="F22" s="2">
        <v>90</v>
      </c>
      <c r="G22" s="2">
        <v>209175</v>
      </c>
      <c r="H22" s="2">
        <v>489265.4</v>
      </c>
      <c r="I22" s="2">
        <v>59221.8</v>
      </c>
      <c r="J22" s="2">
        <v>23076</v>
      </c>
      <c r="K22" s="2">
        <v>31060.9</v>
      </c>
      <c r="L22" s="4">
        <v>28900</v>
      </c>
      <c r="M22" s="4">
        <v>36260.9</v>
      </c>
      <c r="N22" s="4">
        <f t="shared" si="0"/>
        <v>406634</v>
      </c>
      <c r="O22" s="4">
        <f t="shared" si="1"/>
        <v>458610</v>
      </c>
      <c r="P22" s="4">
        <f t="shared" si="2"/>
        <v>252235.50000000003</v>
      </c>
      <c r="Q22" s="12">
        <f t="shared" si="3"/>
        <v>17.916666666666668</v>
      </c>
      <c r="R22" s="31">
        <f t="shared" si="3"/>
        <v>68.958333333333329</v>
      </c>
    </row>
    <row r="23" spans="1:19" x14ac:dyDescent="0.25">
      <c r="A23" s="7">
        <v>21</v>
      </c>
      <c r="B23" s="5">
        <v>45890</v>
      </c>
      <c r="C23" s="2" t="s">
        <v>21</v>
      </c>
      <c r="D23" s="2">
        <v>342600</v>
      </c>
      <c r="E23" s="2">
        <v>147200</v>
      </c>
      <c r="F23" s="2">
        <v>1135</v>
      </c>
      <c r="G23" s="2">
        <v>183125</v>
      </c>
      <c r="H23" s="2">
        <v>467343.6</v>
      </c>
      <c r="I23" s="2">
        <v>78281.2</v>
      </c>
      <c r="J23" s="2">
        <v>46884</v>
      </c>
      <c r="K23" s="2">
        <v>31140.6</v>
      </c>
      <c r="L23" s="4">
        <v>18800</v>
      </c>
      <c r="M23" s="4">
        <v>29340.6</v>
      </c>
      <c r="N23" s="4">
        <f t="shared" si="0"/>
        <v>422981</v>
      </c>
      <c r="O23" s="4">
        <f t="shared" si="1"/>
        <v>488665</v>
      </c>
      <c r="P23" s="4">
        <f t="shared" si="2"/>
        <v>268765.75</v>
      </c>
      <c r="Q23" s="12">
        <f t="shared" si="3"/>
        <v>64.886363636363626</v>
      </c>
      <c r="R23" s="31">
        <f t="shared" si="3"/>
        <v>27.878787878787882</v>
      </c>
    </row>
    <row r="24" spans="1:19" x14ac:dyDescent="0.25">
      <c r="A24" s="7">
        <v>22</v>
      </c>
      <c r="B24" s="5">
        <v>45891</v>
      </c>
      <c r="C24" s="2" t="s">
        <v>21</v>
      </c>
      <c r="D24" s="2">
        <v>414800</v>
      </c>
      <c r="E24" s="2">
        <v>0</v>
      </c>
      <c r="F24" s="2">
        <v>330</v>
      </c>
      <c r="G24" s="2">
        <v>231765</v>
      </c>
      <c r="H24" s="2">
        <v>462784.2</v>
      </c>
      <c r="I24" s="2">
        <v>79661.399999999994</v>
      </c>
      <c r="J24" s="2">
        <v>51128</v>
      </c>
      <c r="K24" s="2">
        <v>31080.7</v>
      </c>
      <c r="L24" s="4">
        <v>4700</v>
      </c>
      <c r="M24" s="4">
        <v>16880.7</v>
      </c>
      <c r="N24" s="4">
        <f t="shared" si="0"/>
        <v>358642</v>
      </c>
      <c r="O24" s="4">
        <f t="shared" si="1"/>
        <v>414470</v>
      </c>
      <c r="P24" s="4">
        <f t="shared" si="2"/>
        <v>227958.50000000003</v>
      </c>
      <c r="Q24" s="12">
        <f t="shared" si="3"/>
        <v>78.560606060606062</v>
      </c>
      <c r="R24" s="31">
        <f t="shared" si="3"/>
        <v>0</v>
      </c>
    </row>
    <row r="25" spans="1:19" x14ac:dyDescent="0.25">
      <c r="A25" s="7">
        <v>23</v>
      </c>
      <c r="B25" s="5">
        <v>45892</v>
      </c>
      <c r="C25" s="2" t="s">
        <v>21</v>
      </c>
      <c r="D25" s="2">
        <v>406400</v>
      </c>
      <c r="E25" s="2">
        <v>0</v>
      </c>
      <c r="F25" s="2">
        <v>55</v>
      </c>
      <c r="G25" s="2">
        <v>233640</v>
      </c>
      <c r="H25" s="2">
        <v>471020</v>
      </c>
      <c r="I25" s="2">
        <v>74840</v>
      </c>
      <c r="J25" s="2">
        <v>49085</v>
      </c>
      <c r="K25" s="2">
        <v>31070</v>
      </c>
      <c r="L25" s="4">
        <v>4100</v>
      </c>
      <c r="M25" s="4">
        <v>9870</v>
      </c>
      <c r="N25" s="4">
        <f t="shared" si="0"/>
        <v>353160</v>
      </c>
      <c r="O25" s="4">
        <f t="shared" si="1"/>
        <v>406345</v>
      </c>
      <c r="P25" s="4">
        <f t="shared" si="2"/>
        <v>223489.75000000003</v>
      </c>
      <c r="Q25" s="12">
        <f t="shared" si="3"/>
        <v>76.969696969696969</v>
      </c>
      <c r="R25" s="31">
        <f t="shared" si="3"/>
        <v>0</v>
      </c>
    </row>
    <row r="26" spans="1:19" x14ac:dyDescent="0.25">
      <c r="A26" s="7">
        <v>24</v>
      </c>
      <c r="B26" s="5">
        <v>45893</v>
      </c>
      <c r="C26" s="2" t="s">
        <v>21</v>
      </c>
      <c r="D26" s="2">
        <v>411100</v>
      </c>
      <c r="E26" s="2">
        <v>0</v>
      </c>
      <c r="F26" s="2">
        <v>0</v>
      </c>
      <c r="G26" s="2">
        <v>227770</v>
      </c>
      <c r="H26" s="2">
        <v>473630.6</v>
      </c>
      <c r="I26" s="2">
        <v>74810.2</v>
      </c>
      <c r="J26" s="2">
        <v>50319</v>
      </c>
      <c r="K26" s="2">
        <v>31655.1</v>
      </c>
      <c r="L26" s="4">
        <v>4000</v>
      </c>
      <c r="M26" s="4">
        <v>4455.1000000000004</v>
      </c>
      <c r="N26" s="4">
        <f t="shared" si="0"/>
        <v>356781</v>
      </c>
      <c r="O26" s="4">
        <f t="shared" si="1"/>
        <v>411100</v>
      </c>
      <c r="P26" s="4">
        <f t="shared" si="2"/>
        <v>226105.00000000003</v>
      </c>
      <c r="Q26" s="12">
        <f t="shared" si="3"/>
        <v>77.859848484848484</v>
      </c>
      <c r="R26" s="31">
        <f t="shared" si="3"/>
        <v>0</v>
      </c>
    </row>
    <row r="27" spans="1:19" x14ac:dyDescent="0.25">
      <c r="A27" s="7">
        <v>25</v>
      </c>
      <c r="B27" s="5">
        <v>45894</v>
      </c>
      <c r="C27" s="2" t="s">
        <v>21</v>
      </c>
      <c r="D27" s="2">
        <v>428800</v>
      </c>
      <c r="E27" s="2">
        <v>0</v>
      </c>
      <c r="F27" s="2">
        <v>280</v>
      </c>
      <c r="G27" s="2">
        <v>243760</v>
      </c>
      <c r="H27" s="2">
        <v>478231</v>
      </c>
      <c r="I27" s="2">
        <v>98677</v>
      </c>
      <c r="J27" s="2">
        <v>53295</v>
      </c>
      <c r="K27" s="2">
        <v>31438.5</v>
      </c>
      <c r="L27" s="4">
        <v>3900</v>
      </c>
      <c r="M27" s="4">
        <v>6738.5</v>
      </c>
      <c r="N27" s="4">
        <f t="shared" si="0"/>
        <v>371325</v>
      </c>
      <c r="O27" s="4">
        <f t="shared" si="1"/>
        <v>428520</v>
      </c>
      <c r="P27" s="4">
        <f t="shared" si="2"/>
        <v>235686.00000000003</v>
      </c>
      <c r="Q27" s="12">
        <f t="shared" si="3"/>
        <v>81.212121212121218</v>
      </c>
      <c r="R27" s="31">
        <f t="shared" si="3"/>
        <v>0</v>
      </c>
    </row>
    <row r="28" spans="1:19" x14ac:dyDescent="0.25">
      <c r="A28" s="7">
        <v>26</v>
      </c>
      <c r="B28" s="5">
        <v>45895</v>
      </c>
      <c r="C28" s="2" t="s">
        <v>21</v>
      </c>
      <c r="D28" s="2">
        <v>430400</v>
      </c>
      <c r="E28" s="2">
        <v>0</v>
      </c>
      <c r="F28" s="2">
        <v>385</v>
      </c>
      <c r="G28" s="2">
        <v>216105</v>
      </c>
      <c r="H28" s="2">
        <v>452960</v>
      </c>
      <c r="I28" s="2">
        <v>95820</v>
      </c>
      <c r="J28" s="2">
        <v>55520</v>
      </c>
      <c r="K28" s="2">
        <v>31660</v>
      </c>
      <c r="L28" s="4">
        <v>3100</v>
      </c>
      <c r="M28" s="4">
        <v>7060</v>
      </c>
      <c r="N28" s="4">
        <f t="shared" si="0"/>
        <v>371395</v>
      </c>
      <c r="O28" s="4">
        <f t="shared" si="1"/>
        <v>430015</v>
      </c>
      <c r="P28" s="4">
        <f t="shared" si="2"/>
        <v>236508.25000000003</v>
      </c>
      <c r="Q28" s="12">
        <f t="shared" si="3"/>
        <v>81.515151515151516</v>
      </c>
      <c r="R28" s="31">
        <f t="shared" si="3"/>
        <v>0</v>
      </c>
    </row>
    <row r="29" spans="1:19" x14ac:dyDescent="0.25">
      <c r="A29" s="7">
        <v>27</v>
      </c>
      <c r="B29" s="5">
        <v>45896</v>
      </c>
      <c r="C29" s="2" t="s">
        <v>21</v>
      </c>
      <c r="D29" s="2">
        <v>434400</v>
      </c>
      <c r="E29" s="2">
        <v>0</v>
      </c>
      <c r="F29" s="2">
        <v>110</v>
      </c>
      <c r="G29" s="2">
        <v>216800</v>
      </c>
      <c r="H29" s="2">
        <v>457161.8</v>
      </c>
      <c r="I29" s="2">
        <v>97420.6</v>
      </c>
      <c r="J29" s="2">
        <v>53987</v>
      </c>
      <c r="K29" s="2">
        <v>32010.3</v>
      </c>
      <c r="L29" s="4">
        <v>3600</v>
      </c>
      <c r="M29" s="4">
        <v>6910.3</v>
      </c>
      <c r="N29" s="4">
        <f t="shared" si="0"/>
        <v>376703</v>
      </c>
      <c r="O29" s="4">
        <f t="shared" si="1"/>
        <v>434290</v>
      </c>
      <c r="P29" s="4">
        <f t="shared" si="2"/>
        <v>238859.50000000003</v>
      </c>
      <c r="Q29" s="12">
        <f t="shared" si="3"/>
        <v>82.27272727272728</v>
      </c>
      <c r="R29" s="31">
        <f t="shared" si="3"/>
        <v>0</v>
      </c>
    </row>
    <row r="30" spans="1:19" s="19" customFormat="1" x14ac:dyDescent="0.25">
      <c r="A30" s="7">
        <v>28</v>
      </c>
      <c r="B30" s="5">
        <v>45897</v>
      </c>
      <c r="C30" s="33" t="s">
        <v>21</v>
      </c>
      <c r="D30" s="33">
        <v>409200</v>
      </c>
      <c r="E30" s="33">
        <v>0</v>
      </c>
      <c r="F30" s="33">
        <v>235</v>
      </c>
      <c r="G30" s="33">
        <v>213425</v>
      </c>
      <c r="H30" s="33">
        <v>449168.8</v>
      </c>
      <c r="I30" s="33">
        <v>82889.600000000006</v>
      </c>
      <c r="J30" s="33">
        <v>52842</v>
      </c>
      <c r="K30" s="33">
        <v>28794.799999999999</v>
      </c>
      <c r="L30" s="35">
        <v>4100</v>
      </c>
      <c r="M30" s="36">
        <v>4594.8</v>
      </c>
      <c r="N30" s="36">
        <f t="shared" si="0"/>
        <v>352023</v>
      </c>
      <c r="O30" s="36">
        <f t="shared" si="1"/>
        <v>408965</v>
      </c>
      <c r="P30" s="36">
        <f t="shared" si="2"/>
        <v>224930.75000000003</v>
      </c>
      <c r="Q30" s="37">
        <f t="shared" si="3"/>
        <v>77.5</v>
      </c>
      <c r="R30" s="38">
        <f t="shared" si="3"/>
        <v>0</v>
      </c>
      <c r="S30"/>
    </row>
    <row r="31" spans="1:19" x14ac:dyDescent="0.25">
      <c r="A31" s="7">
        <v>29</v>
      </c>
      <c r="B31" s="5">
        <v>45898</v>
      </c>
      <c r="C31" s="2" t="s">
        <v>21</v>
      </c>
      <c r="D31" s="2">
        <v>433300</v>
      </c>
      <c r="E31" s="2">
        <v>0</v>
      </c>
      <c r="F31" s="2">
        <v>215</v>
      </c>
      <c r="G31" s="2">
        <v>227305</v>
      </c>
      <c r="H31" s="2">
        <v>480870.8</v>
      </c>
      <c r="I31" s="2">
        <v>82923.600000000006</v>
      </c>
      <c r="J31" s="2">
        <v>53672</v>
      </c>
      <c r="K31" s="2">
        <v>31611.8</v>
      </c>
      <c r="L31" s="4">
        <v>4800</v>
      </c>
      <c r="M31" s="4">
        <v>6511.8</v>
      </c>
      <c r="N31" s="4">
        <f t="shared" si="0"/>
        <v>374613</v>
      </c>
      <c r="O31" s="4">
        <f t="shared" si="1"/>
        <v>433085</v>
      </c>
      <c r="P31" s="4">
        <f>O31*0.55</f>
        <v>238196.75000000003</v>
      </c>
      <c r="Q31" s="12">
        <f>(D31/528000)*100</f>
        <v>82.064393939393938</v>
      </c>
      <c r="R31" s="31">
        <f t="shared" ref="R31:R33" si="4">(E31/528000)*100</f>
        <v>0</v>
      </c>
    </row>
    <row r="32" spans="1:19" x14ac:dyDescent="0.25">
      <c r="A32" s="7">
        <v>30</v>
      </c>
      <c r="B32" s="5">
        <v>45899</v>
      </c>
      <c r="C32" s="2" t="s">
        <v>21</v>
      </c>
      <c r="D32" s="2">
        <v>427700</v>
      </c>
      <c r="E32" s="2">
        <v>47800</v>
      </c>
      <c r="F32" s="2">
        <v>180</v>
      </c>
      <c r="G32" s="2">
        <v>226360</v>
      </c>
      <c r="H32" s="2">
        <v>507149</v>
      </c>
      <c r="I32" s="2">
        <v>78983</v>
      </c>
      <c r="J32" s="2">
        <v>55665</v>
      </c>
      <c r="K32" s="2">
        <v>31591.5</v>
      </c>
      <c r="L32" s="4">
        <v>9200</v>
      </c>
      <c r="M32" s="4">
        <v>19091.5</v>
      </c>
      <c r="N32" s="4">
        <f t="shared" si="0"/>
        <v>410455</v>
      </c>
      <c r="O32" s="4">
        <f t="shared" si="1"/>
        <v>475320</v>
      </c>
      <c r="P32" s="4">
        <f>O32*0.55</f>
        <v>261426.00000000003</v>
      </c>
      <c r="Q32" s="12">
        <f>(D32/528000)*100</f>
        <v>81.003787878787875</v>
      </c>
      <c r="R32" s="31">
        <f t="shared" si="4"/>
        <v>9.0530303030303028</v>
      </c>
    </row>
    <row r="33" spans="1:18" x14ac:dyDescent="0.25">
      <c r="A33" s="7">
        <v>31</v>
      </c>
      <c r="B33" s="5">
        <v>45900</v>
      </c>
      <c r="C33" s="2" t="s">
        <v>21</v>
      </c>
      <c r="D33" s="2">
        <v>436900</v>
      </c>
      <c r="E33" s="2">
        <v>224400</v>
      </c>
      <c r="F33" s="2">
        <v>3660</v>
      </c>
      <c r="G33" s="2">
        <v>121840</v>
      </c>
      <c r="H33" s="2">
        <v>565283.19999999995</v>
      </c>
      <c r="I33" s="2">
        <v>81394.399999999994</v>
      </c>
      <c r="J33" s="2">
        <v>55008</v>
      </c>
      <c r="K33" s="2">
        <v>31497.200000000001</v>
      </c>
      <c r="L33" s="4">
        <v>20100</v>
      </c>
      <c r="M33" s="4">
        <v>26197.200000000001</v>
      </c>
      <c r="N33" s="4">
        <f t="shared" si="0"/>
        <v>582532</v>
      </c>
      <c r="O33" s="4">
        <f t="shared" si="1"/>
        <v>657640</v>
      </c>
      <c r="P33" s="4">
        <f>O33*0.55</f>
        <v>361702.00000000006</v>
      </c>
      <c r="Q33" s="12">
        <f>(D33/528000)*100</f>
        <v>82.746212121212125</v>
      </c>
      <c r="R33" s="31">
        <f t="shared" si="4"/>
        <v>42.5</v>
      </c>
    </row>
    <row r="34" spans="1:18" x14ac:dyDescent="0.25">
      <c r="A34" s="2"/>
      <c r="B34" s="2"/>
      <c r="C34" s="8" t="s">
        <v>15</v>
      </c>
      <c r="D34" s="8">
        <f t="shared" ref="D34:P34" si="5">SUM(D3:D33)</f>
        <v>10690700</v>
      </c>
      <c r="E34" s="8">
        <f>SUM(E3:E33)</f>
        <v>8314100</v>
      </c>
      <c r="F34" s="8">
        <f t="shared" si="5"/>
        <v>703480</v>
      </c>
      <c r="G34" s="8">
        <f t="shared" si="5"/>
        <v>3640880</v>
      </c>
      <c r="H34" s="8">
        <f t="shared" si="5"/>
        <v>15402445.800000003</v>
      </c>
      <c r="I34" s="23">
        <f>SUM(I3:I33)</f>
        <v>2496648.6</v>
      </c>
      <c r="J34" s="8">
        <f t="shared" si="5"/>
        <v>1494957</v>
      </c>
      <c r="K34" s="8">
        <f t="shared" si="5"/>
        <v>960774.3</v>
      </c>
      <c r="L34" s="8">
        <f>SUM(L3:L33)</f>
        <v>701900</v>
      </c>
      <c r="M34" s="8">
        <f>SUM(M3:M33)</f>
        <v>885474.3</v>
      </c>
      <c r="N34" s="8">
        <f t="shared" si="5"/>
        <v>16104463</v>
      </c>
      <c r="O34" s="8">
        <f t="shared" si="5"/>
        <v>18301320</v>
      </c>
      <c r="P34" s="8">
        <f t="shared" si="5"/>
        <v>10065726.000000002</v>
      </c>
      <c r="Q34" s="13">
        <f>SUM(Q3:Q33)/31</f>
        <v>65.314638318670589</v>
      </c>
      <c r="R34" s="13">
        <f>SUM(R3:R33)/31</f>
        <v>50.794843597262961</v>
      </c>
    </row>
    <row r="35" spans="1:18" x14ac:dyDescent="0.25">
      <c r="A35" s="2"/>
      <c r="B35" s="2"/>
      <c r="C35" s="8" t="s">
        <v>16</v>
      </c>
      <c r="D35" s="2">
        <v>10690700</v>
      </c>
      <c r="E35" s="2"/>
      <c r="F35" s="2">
        <v>712800</v>
      </c>
      <c r="G35" s="2">
        <v>3643020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x14ac:dyDescent="0.25">
      <c r="A36" s="2"/>
      <c r="B36" s="2"/>
      <c r="C36" s="8" t="s">
        <v>17</v>
      </c>
      <c r="D36" s="2">
        <f>D34-D35</f>
        <v>0</v>
      </c>
      <c r="E36" s="2"/>
      <c r="F36" s="2"/>
      <c r="G36" s="2"/>
      <c r="H36" s="60">
        <v>-7180</v>
      </c>
      <c r="I36" s="61"/>
      <c r="J36" s="61"/>
      <c r="K36" s="61"/>
      <c r="L36" s="61"/>
      <c r="M36" s="62"/>
      <c r="N36" s="2"/>
      <c r="O36" s="2"/>
      <c r="P36" s="2"/>
      <c r="Q36" s="2"/>
      <c r="R36" s="2"/>
    </row>
    <row r="37" spans="1:18" x14ac:dyDescent="0.25">
      <c r="A37" s="2"/>
      <c r="B37" s="2"/>
      <c r="C37" s="8" t="s">
        <v>18</v>
      </c>
      <c r="D37" s="2"/>
      <c r="E37" s="2"/>
      <c r="F37" s="2"/>
      <c r="G37" s="2"/>
      <c r="H37" s="2">
        <v>15398855.800000001</v>
      </c>
      <c r="I37" s="42">
        <v>2495212.6</v>
      </c>
      <c r="J37" s="2"/>
      <c r="K37" s="2">
        <v>959697.3</v>
      </c>
      <c r="L37" s="2"/>
      <c r="M37" s="2">
        <v>884397.3</v>
      </c>
      <c r="N37" s="2"/>
      <c r="O37" s="2"/>
      <c r="P37" s="2"/>
      <c r="Q37" s="2"/>
      <c r="R37" s="2"/>
    </row>
    <row r="38" spans="1:18" x14ac:dyDescent="0.25">
      <c r="A38" s="2"/>
      <c r="B38" s="2"/>
      <c r="C38" s="8" t="s">
        <v>19</v>
      </c>
      <c r="D38" s="2">
        <v>679048.9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 x14ac:dyDescent="0.25">
      <c r="A39" s="2"/>
      <c r="B39" s="2"/>
      <c r="C39" s="8" t="s">
        <v>20</v>
      </c>
      <c r="D39" s="2">
        <v>689739.6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 x14ac:dyDescent="0.25">
      <c r="A40" s="1"/>
      <c r="B40" s="1"/>
      <c r="C40" s="1"/>
      <c r="D40" s="1">
        <f>D39-D38</f>
        <v>10690.699999999953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x14ac:dyDescent="0.25">
      <c r="A42" s="1"/>
      <c r="B42" s="1"/>
      <c r="C42" s="1"/>
      <c r="D42" s="1"/>
      <c r="E42" s="1"/>
      <c r="F42" s="1"/>
      <c r="G42" s="1"/>
      <c r="H42" s="1"/>
      <c r="I42" s="24"/>
      <c r="J42" s="1"/>
      <c r="K42" s="1"/>
      <c r="L42" s="1"/>
      <c r="M42" s="1"/>
      <c r="N42" s="1"/>
      <c r="O42" s="1"/>
      <c r="P42" s="1"/>
      <c r="Q42" s="1"/>
      <c r="R42" s="1"/>
    </row>
    <row r="43" spans="1:18" x14ac:dyDescent="0.25">
      <c r="A43" s="1"/>
      <c r="B43" s="1"/>
      <c r="C43" s="1"/>
      <c r="D43" s="1"/>
      <c r="E43" s="1"/>
      <c r="F43" s="1"/>
      <c r="G43" s="24"/>
      <c r="H43" s="1"/>
      <c r="I43" s="20"/>
      <c r="J43" s="1"/>
      <c r="K43" s="1"/>
      <c r="L43" s="1"/>
      <c r="M43" s="1"/>
      <c r="N43" s="1"/>
      <c r="O43" s="1"/>
      <c r="P43" s="1"/>
      <c r="Q43" s="1"/>
      <c r="R43" s="1"/>
    </row>
    <row r="44" spans="1:18" x14ac:dyDescent="0.25">
      <c r="A44" s="1"/>
      <c r="B44" s="1"/>
      <c r="C44" s="1"/>
      <c r="D44" s="1"/>
      <c r="E44" s="1"/>
      <c r="F44" s="24"/>
      <c r="G44" s="1"/>
      <c r="H44" s="1"/>
      <c r="I44" s="32"/>
      <c r="J44" s="1"/>
      <c r="K44" s="1"/>
      <c r="L44" s="1"/>
      <c r="M44" s="1"/>
      <c r="N44" s="1"/>
      <c r="O44" s="1"/>
      <c r="P44" s="1"/>
      <c r="Q44" s="1"/>
      <c r="R44" s="1"/>
    </row>
    <row r="45" spans="1:18" x14ac:dyDescent="0.25">
      <c r="A45" s="1"/>
      <c r="B45" s="1"/>
      <c r="C45" s="1"/>
      <c r="D45" s="1"/>
      <c r="E45" s="1"/>
      <c r="F45" s="24"/>
      <c r="G45" s="1"/>
      <c r="H45" s="1"/>
      <c r="I45" s="32"/>
      <c r="J45" s="1"/>
      <c r="K45" s="1"/>
      <c r="L45" s="1"/>
      <c r="M45" s="1"/>
      <c r="N45" s="1"/>
      <c r="O45" s="1"/>
      <c r="P45" s="1"/>
      <c r="Q45" s="1"/>
      <c r="R45" s="1"/>
    </row>
    <row r="46" spans="1:18" x14ac:dyDescent="0.25">
      <c r="A46" s="1"/>
      <c r="B46" s="1"/>
      <c r="C46" s="1"/>
      <c r="D46" s="1"/>
      <c r="E46" s="1"/>
      <c r="F46" s="1"/>
      <c r="G46" s="24"/>
      <c r="H46" s="1"/>
      <c r="I46" s="32"/>
      <c r="J46" s="1"/>
      <c r="K46" s="1"/>
      <c r="L46" s="1"/>
      <c r="M46" s="1"/>
      <c r="N46" s="1"/>
      <c r="O46" s="1"/>
      <c r="P46" s="1"/>
      <c r="Q46" s="1"/>
      <c r="R46" s="1"/>
    </row>
    <row r="47" spans="1:18" x14ac:dyDescent="0.25">
      <c r="A47" s="1"/>
      <c r="B47" s="1"/>
      <c r="C47" s="1"/>
      <c r="D47" s="1"/>
      <c r="E47" s="24"/>
      <c r="F47" s="24"/>
      <c r="G47" s="1"/>
      <c r="H47" s="1"/>
      <c r="I47" s="32"/>
      <c r="J47" s="1"/>
      <c r="K47" s="1"/>
      <c r="L47" s="1"/>
      <c r="M47" s="1"/>
      <c r="N47" s="1"/>
      <c r="O47" s="1"/>
      <c r="P47" s="1"/>
      <c r="Q47" s="1"/>
      <c r="R47" s="1"/>
    </row>
    <row r="48" spans="1:18" x14ac:dyDescent="0.25">
      <c r="A48" s="1"/>
      <c r="B48" s="1"/>
      <c r="C48" s="1"/>
      <c r="D48" s="1"/>
      <c r="E48" s="1"/>
      <c r="F48" s="1"/>
      <c r="G48" s="24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</sheetData>
  <mergeCells count="2">
    <mergeCell ref="A1:R1"/>
    <mergeCell ref="H36:M36"/>
  </mergeCells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49"/>
  <sheetViews>
    <sheetView topLeftCell="A19" zoomScaleNormal="100" workbookViewId="0">
      <selection activeCell="I23" sqref="I23"/>
    </sheetView>
  </sheetViews>
  <sheetFormatPr defaultRowHeight="15" x14ac:dyDescent="0.25"/>
  <cols>
    <col min="1" max="1" width="5.5703125" bestFit="1" customWidth="1"/>
    <col min="2" max="2" width="10.140625" customWidth="1"/>
    <col min="3" max="3" width="18" customWidth="1"/>
    <col min="4" max="5" width="10.42578125" customWidth="1"/>
    <col min="6" max="6" width="8.85546875" customWidth="1"/>
    <col min="7" max="7" width="11.42578125" customWidth="1"/>
    <col min="8" max="8" width="12.7109375" customWidth="1"/>
    <col min="9" max="9" width="13.140625" customWidth="1"/>
    <col min="10" max="11" width="9.85546875" customWidth="1"/>
    <col min="12" max="12" width="11.140625" customWidth="1"/>
    <col min="13" max="13" width="9.7109375" customWidth="1"/>
    <col min="14" max="14" width="8.7109375" customWidth="1"/>
    <col min="15" max="15" width="13" customWidth="1"/>
    <col min="16" max="16" width="11.5703125" bestFit="1" customWidth="1"/>
    <col min="17" max="17" width="7.42578125" customWidth="1"/>
    <col min="18" max="18" width="9" customWidth="1"/>
  </cols>
  <sheetData>
    <row r="1" spans="1:18" ht="40.5" customHeight="1" thickBot="1" x14ac:dyDescent="0.3">
      <c r="A1" s="66" t="s">
        <v>90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</row>
    <row r="2" spans="1:18" ht="51.75" customHeight="1" thickBot="1" x14ac:dyDescent="0.3">
      <c r="A2" s="9" t="s">
        <v>0</v>
      </c>
      <c r="B2" s="10" t="s">
        <v>1</v>
      </c>
      <c r="C2" s="10" t="s">
        <v>2</v>
      </c>
      <c r="D2" s="21" t="s">
        <v>56</v>
      </c>
      <c r="E2" s="21" t="s">
        <v>57</v>
      </c>
      <c r="F2" s="21" t="s">
        <v>4</v>
      </c>
      <c r="G2" s="21" t="s">
        <v>5</v>
      </c>
      <c r="H2" s="21" t="s">
        <v>6</v>
      </c>
      <c r="I2" s="21" t="s">
        <v>7</v>
      </c>
      <c r="J2" s="21" t="s">
        <v>64</v>
      </c>
      <c r="K2" s="21" t="s">
        <v>66</v>
      </c>
      <c r="L2" s="21" t="s">
        <v>65</v>
      </c>
      <c r="M2" s="21" t="s">
        <v>67</v>
      </c>
      <c r="N2" s="21" t="s">
        <v>10</v>
      </c>
      <c r="O2" s="21" t="s">
        <v>11</v>
      </c>
      <c r="P2" s="10" t="s">
        <v>12</v>
      </c>
      <c r="Q2" s="29" t="s">
        <v>54</v>
      </c>
      <c r="R2" s="30" t="s">
        <v>55</v>
      </c>
    </row>
    <row r="3" spans="1:18" x14ac:dyDescent="0.25">
      <c r="A3" s="6">
        <v>1</v>
      </c>
      <c r="B3" s="5">
        <v>45839</v>
      </c>
      <c r="C3" s="4" t="s">
        <v>21</v>
      </c>
      <c r="D3" s="4">
        <v>467600</v>
      </c>
      <c r="E3" s="4">
        <v>396700</v>
      </c>
      <c r="F3" s="4">
        <v>41465</v>
      </c>
      <c r="G3" s="4">
        <v>14870</v>
      </c>
      <c r="H3" s="4">
        <v>574660.4</v>
      </c>
      <c r="I3" s="4">
        <v>101186.8</v>
      </c>
      <c r="J3" s="4">
        <v>58271</v>
      </c>
      <c r="K3" s="4">
        <v>36943.4</v>
      </c>
      <c r="L3" s="4">
        <v>30400</v>
      </c>
      <c r="M3" s="4">
        <v>36243.4</v>
      </c>
      <c r="N3" s="4">
        <f>(D3+E3)-F3-J3-L3</f>
        <v>734164</v>
      </c>
      <c r="O3" s="4">
        <f>(D3+E3)-F3</f>
        <v>822835</v>
      </c>
      <c r="P3" s="4">
        <f>O3*0.55</f>
        <v>452559.25000000006</v>
      </c>
      <c r="Q3" s="12">
        <f>(D3/528000)*100</f>
        <v>88.560606060606062</v>
      </c>
      <c r="R3" s="31">
        <f>(E3/528000)*100</f>
        <v>75.132575757575765</v>
      </c>
    </row>
    <row r="4" spans="1:18" x14ac:dyDescent="0.25">
      <c r="A4" s="7">
        <v>2</v>
      </c>
      <c r="B4" s="5">
        <v>45840</v>
      </c>
      <c r="C4" s="2" t="s">
        <v>21</v>
      </c>
      <c r="D4" s="2">
        <v>476200</v>
      </c>
      <c r="E4" s="2">
        <v>385700</v>
      </c>
      <c r="F4" s="2">
        <v>43995</v>
      </c>
      <c r="G4" s="2">
        <v>14085</v>
      </c>
      <c r="H4" s="2">
        <v>588119.19999999995</v>
      </c>
      <c r="I4" s="2">
        <v>84106.4</v>
      </c>
      <c r="J4" s="2">
        <v>58858</v>
      </c>
      <c r="K4" s="2">
        <v>36253.199999999997</v>
      </c>
      <c r="L4" s="4">
        <v>29600</v>
      </c>
      <c r="M4" s="4">
        <v>35053.199999999997</v>
      </c>
      <c r="N4" s="4">
        <f t="shared" ref="N4:N33" si="0">(D4+E4)-F4-J4-L4</f>
        <v>729447</v>
      </c>
      <c r="O4" s="4">
        <f t="shared" ref="O4:O33" si="1">(D4+E4)-F4</f>
        <v>817905</v>
      </c>
      <c r="P4" s="4">
        <f t="shared" ref="P4:P30" si="2">O4*0.55</f>
        <v>449847.75000000006</v>
      </c>
      <c r="Q4" s="12">
        <f>(D4/528000)*100</f>
        <v>90.189393939393938</v>
      </c>
      <c r="R4" s="31">
        <f>(E4/528000)*100</f>
        <v>73.049242424242422</v>
      </c>
    </row>
    <row r="5" spans="1:18" x14ac:dyDescent="0.25">
      <c r="A5" s="7">
        <v>3</v>
      </c>
      <c r="B5" s="5">
        <v>45841</v>
      </c>
      <c r="C5" s="2" t="s">
        <v>21</v>
      </c>
      <c r="D5" s="2">
        <v>456600</v>
      </c>
      <c r="E5" s="2">
        <v>383900</v>
      </c>
      <c r="F5" s="2">
        <v>43395</v>
      </c>
      <c r="G5" s="2">
        <v>12495</v>
      </c>
      <c r="H5" s="2">
        <v>583347.4</v>
      </c>
      <c r="I5" s="2">
        <v>67215.8</v>
      </c>
      <c r="J5" s="2">
        <v>58121</v>
      </c>
      <c r="K5" s="2">
        <v>35457.9</v>
      </c>
      <c r="L5" s="4">
        <v>30300</v>
      </c>
      <c r="M5" s="4">
        <v>35157.9</v>
      </c>
      <c r="N5" s="4">
        <f t="shared" si="0"/>
        <v>708684</v>
      </c>
      <c r="O5" s="4">
        <f t="shared" si="1"/>
        <v>797105</v>
      </c>
      <c r="P5" s="4">
        <f t="shared" si="2"/>
        <v>438407.75000000006</v>
      </c>
      <c r="Q5" s="12">
        <f t="shared" ref="Q5:R30" si="3">(D5/528000)*100</f>
        <v>86.47727272727272</v>
      </c>
      <c r="R5" s="31">
        <f t="shared" si="3"/>
        <v>72.708333333333329</v>
      </c>
    </row>
    <row r="6" spans="1:18" x14ac:dyDescent="0.25">
      <c r="A6" s="7">
        <v>4</v>
      </c>
      <c r="B6" s="5">
        <v>45842</v>
      </c>
      <c r="C6" s="2" t="s">
        <v>21</v>
      </c>
      <c r="D6" s="2">
        <v>469700</v>
      </c>
      <c r="E6" s="2">
        <v>394600</v>
      </c>
      <c r="F6" s="2">
        <v>23335</v>
      </c>
      <c r="G6" s="2">
        <v>22660</v>
      </c>
      <c r="H6" s="2">
        <v>605250</v>
      </c>
      <c r="I6" s="2">
        <v>97250</v>
      </c>
      <c r="J6" s="2">
        <v>58575</v>
      </c>
      <c r="K6" s="2">
        <v>36175</v>
      </c>
      <c r="L6" s="4">
        <v>30300</v>
      </c>
      <c r="M6" s="4">
        <v>36075</v>
      </c>
      <c r="N6" s="4">
        <f t="shared" si="0"/>
        <v>752090</v>
      </c>
      <c r="O6" s="4">
        <f t="shared" si="1"/>
        <v>840965</v>
      </c>
      <c r="P6" s="4">
        <f t="shared" si="2"/>
        <v>462530.75000000006</v>
      </c>
      <c r="Q6" s="12">
        <f t="shared" si="3"/>
        <v>88.958333333333329</v>
      </c>
      <c r="R6" s="31">
        <f t="shared" si="3"/>
        <v>74.734848484848484</v>
      </c>
    </row>
    <row r="7" spans="1:18" x14ac:dyDescent="0.25">
      <c r="A7" s="7">
        <v>5</v>
      </c>
      <c r="B7" s="5">
        <v>45843</v>
      </c>
      <c r="C7" s="2" t="s">
        <v>21</v>
      </c>
      <c r="D7" s="2">
        <v>471100</v>
      </c>
      <c r="E7" s="2">
        <v>386600</v>
      </c>
      <c r="F7" s="2">
        <v>25200</v>
      </c>
      <c r="G7" s="2">
        <v>24350</v>
      </c>
      <c r="H7" s="2">
        <v>590859.19999999995</v>
      </c>
      <c r="I7" s="2">
        <v>106286.39999999999</v>
      </c>
      <c r="J7" s="2">
        <v>58818</v>
      </c>
      <c r="K7" s="2">
        <v>35993.199999999997</v>
      </c>
      <c r="L7" s="4">
        <v>30000</v>
      </c>
      <c r="M7" s="4">
        <v>34893.199999999997</v>
      </c>
      <c r="N7" s="4">
        <f t="shared" si="0"/>
        <v>743682</v>
      </c>
      <c r="O7" s="4">
        <f t="shared" si="1"/>
        <v>832500</v>
      </c>
      <c r="P7" s="4">
        <f t="shared" si="2"/>
        <v>457875.00000000006</v>
      </c>
      <c r="Q7" s="12">
        <f t="shared" si="3"/>
        <v>89.223484848484844</v>
      </c>
      <c r="R7" s="31">
        <f t="shared" si="3"/>
        <v>73.219696969696969</v>
      </c>
    </row>
    <row r="8" spans="1:18" x14ac:dyDescent="0.25">
      <c r="A8" s="7">
        <v>6</v>
      </c>
      <c r="B8" s="5">
        <v>45844</v>
      </c>
      <c r="C8" s="2" t="s">
        <v>21</v>
      </c>
      <c r="D8" s="2">
        <v>469300</v>
      </c>
      <c r="E8" s="2">
        <v>374500</v>
      </c>
      <c r="F8" s="2">
        <v>25625</v>
      </c>
      <c r="G8" s="2">
        <v>22885</v>
      </c>
      <c r="H8" s="2">
        <v>588310</v>
      </c>
      <c r="I8" s="2">
        <v>97370</v>
      </c>
      <c r="J8" s="2">
        <v>57710</v>
      </c>
      <c r="K8" s="2">
        <v>35035</v>
      </c>
      <c r="L8" s="4">
        <v>28300</v>
      </c>
      <c r="M8" s="4">
        <v>34335</v>
      </c>
      <c r="N8" s="4">
        <f t="shared" si="0"/>
        <v>732165</v>
      </c>
      <c r="O8" s="4">
        <f t="shared" si="1"/>
        <v>818175</v>
      </c>
      <c r="P8" s="4">
        <f t="shared" si="2"/>
        <v>449996.25000000006</v>
      </c>
      <c r="Q8" s="12">
        <f t="shared" si="3"/>
        <v>88.882575757575751</v>
      </c>
      <c r="R8" s="31">
        <f t="shared" si="3"/>
        <v>70.928030303030297</v>
      </c>
    </row>
    <row r="9" spans="1:18" x14ac:dyDescent="0.25">
      <c r="A9" s="7">
        <v>7</v>
      </c>
      <c r="B9" s="5">
        <v>45845</v>
      </c>
      <c r="C9" s="2" t="s">
        <v>21</v>
      </c>
      <c r="D9" s="2">
        <v>450800</v>
      </c>
      <c r="E9" s="2">
        <v>369900</v>
      </c>
      <c r="F9" s="2">
        <v>21030</v>
      </c>
      <c r="G9" s="2">
        <v>32665</v>
      </c>
      <c r="H9" s="2">
        <v>579869.80000000005</v>
      </c>
      <c r="I9" s="2">
        <v>96156.6</v>
      </c>
      <c r="J9" s="2">
        <v>57152</v>
      </c>
      <c r="K9" s="2">
        <v>34928.300000000003</v>
      </c>
      <c r="L9" s="4">
        <v>29300</v>
      </c>
      <c r="M9" s="4">
        <v>34928.300000000003</v>
      </c>
      <c r="N9" s="4">
        <f t="shared" si="0"/>
        <v>713218</v>
      </c>
      <c r="O9" s="4">
        <f t="shared" si="1"/>
        <v>799670</v>
      </c>
      <c r="P9" s="4">
        <f t="shared" si="2"/>
        <v>439818.50000000006</v>
      </c>
      <c r="Q9" s="12">
        <f t="shared" si="3"/>
        <v>85.378787878787875</v>
      </c>
      <c r="R9" s="31">
        <f t="shared" si="3"/>
        <v>70.056818181818187</v>
      </c>
    </row>
    <row r="10" spans="1:18" x14ac:dyDescent="0.25">
      <c r="A10" s="7">
        <v>8</v>
      </c>
      <c r="B10" s="5">
        <v>45846</v>
      </c>
      <c r="C10" s="2" t="s">
        <v>21</v>
      </c>
      <c r="D10" s="2">
        <v>457000</v>
      </c>
      <c r="E10" s="2">
        <v>380700</v>
      </c>
      <c r="F10" s="2">
        <v>25255</v>
      </c>
      <c r="G10" s="2">
        <v>32510</v>
      </c>
      <c r="H10" s="2">
        <v>581894.40000000002</v>
      </c>
      <c r="I10" s="2">
        <v>105364.8</v>
      </c>
      <c r="J10" s="2">
        <v>57531</v>
      </c>
      <c r="K10" s="2">
        <v>35482.400000000001</v>
      </c>
      <c r="L10" s="4">
        <v>30600</v>
      </c>
      <c r="M10" s="4">
        <v>34082.400000000001</v>
      </c>
      <c r="N10" s="4">
        <f t="shared" si="0"/>
        <v>724314</v>
      </c>
      <c r="O10" s="4">
        <f t="shared" si="1"/>
        <v>812445</v>
      </c>
      <c r="P10" s="4">
        <f t="shared" si="2"/>
        <v>446844.75000000006</v>
      </c>
      <c r="Q10" s="12">
        <f t="shared" si="3"/>
        <v>86.553030303030297</v>
      </c>
      <c r="R10" s="31">
        <f t="shared" si="3"/>
        <v>72.102272727272734</v>
      </c>
    </row>
    <row r="11" spans="1:18" x14ac:dyDescent="0.25">
      <c r="A11" s="7">
        <v>9</v>
      </c>
      <c r="B11" s="5">
        <v>45847</v>
      </c>
      <c r="C11" s="2" t="s">
        <v>21</v>
      </c>
      <c r="D11" s="2">
        <v>443400</v>
      </c>
      <c r="E11" s="2">
        <v>392100</v>
      </c>
      <c r="F11" s="2">
        <v>40955</v>
      </c>
      <c r="G11" s="2">
        <v>18060</v>
      </c>
      <c r="H11" s="2">
        <v>561440.6</v>
      </c>
      <c r="I11" s="2">
        <v>93980.2</v>
      </c>
      <c r="J11" s="2">
        <v>56504</v>
      </c>
      <c r="K11" s="2">
        <v>36490.1</v>
      </c>
      <c r="L11" s="4">
        <v>29800</v>
      </c>
      <c r="M11" s="4">
        <v>34390.1</v>
      </c>
      <c r="N11" s="4">
        <f t="shared" si="0"/>
        <v>708241</v>
      </c>
      <c r="O11" s="4">
        <f t="shared" si="1"/>
        <v>794545</v>
      </c>
      <c r="P11" s="4">
        <f t="shared" si="2"/>
        <v>436999.75000000006</v>
      </c>
      <c r="Q11" s="12">
        <f t="shared" si="3"/>
        <v>83.97727272727272</v>
      </c>
      <c r="R11" s="31">
        <f t="shared" si="3"/>
        <v>74.261363636363626</v>
      </c>
    </row>
    <row r="12" spans="1:18" x14ac:dyDescent="0.25">
      <c r="A12" s="7">
        <v>10</v>
      </c>
      <c r="B12" s="5">
        <v>45848</v>
      </c>
      <c r="C12" s="2" t="s">
        <v>21</v>
      </c>
      <c r="D12" s="2">
        <v>455000</v>
      </c>
      <c r="E12" s="2">
        <v>390400</v>
      </c>
      <c r="F12" s="2">
        <v>32685</v>
      </c>
      <c r="G12" s="2">
        <v>22630</v>
      </c>
      <c r="H12" s="2">
        <v>570990</v>
      </c>
      <c r="I12" s="2">
        <v>105330</v>
      </c>
      <c r="J12" s="2">
        <v>58495</v>
      </c>
      <c r="K12" s="2">
        <v>35815</v>
      </c>
      <c r="L12" s="4">
        <v>30200</v>
      </c>
      <c r="M12" s="4">
        <v>34515</v>
      </c>
      <c r="N12" s="4">
        <f t="shared" si="0"/>
        <v>724020</v>
      </c>
      <c r="O12" s="4">
        <f t="shared" si="1"/>
        <v>812715</v>
      </c>
      <c r="P12" s="4">
        <f t="shared" si="2"/>
        <v>446993.25000000006</v>
      </c>
      <c r="Q12" s="12">
        <f t="shared" si="3"/>
        <v>86.174242424242422</v>
      </c>
      <c r="R12" s="31">
        <f t="shared" si="3"/>
        <v>73.939393939393938</v>
      </c>
    </row>
    <row r="13" spans="1:18" x14ac:dyDescent="0.25">
      <c r="A13" s="7">
        <v>11</v>
      </c>
      <c r="B13" s="5">
        <v>45849</v>
      </c>
      <c r="C13" s="2" t="s">
        <v>21</v>
      </c>
      <c r="D13" s="2">
        <v>438800</v>
      </c>
      <c r="E13" s="2">
        <v>379900</v>
      </c>
      <c r="F13" s="2">
        <v>41640</v>
      </c>
      <c r="G13" s="2">
        <v>18710</v>
      </c>
      <c r="H13" s="2">
        <v>534242.19999999995</v>
      </c>
      <c r="I13" s="2">
        <v>102347.4</v>
      </c>
      <c r="J13" s="2">
        <v>57033</v>
      </c>
      <c r="K13" s="2">
        <v>36723.699999999997</v>
      </c>
      <c r="L13" s="4">
        <v>30400</v>
      </c>
      <c r="M13" s="4">
        <v>35023.699999999997</v>
      </c>
      <c r="N13" s="4">
        <f t="shared" si="0"/>
        <v>689627</v>
      </c>
      <c r="O13" s="4">
        <f t="shared" si="1"/>
        <v>777060</v>
      </c>
      <c r="P13" s="4">
        <f t="shared" si="2"/>
        <v>427383.00000000006</v>
      </c>
      <c r="Q13" s="12">
        <f t="shared" si="3"/>
        <v>83.106060606060609</v>
      </c>
      <c r="R13" s="31">
        <f t="shared" si="3"/>
        <v>71.950757575757578</v>
      </c>
    </row>
    <row r="14" spans="1:18" x14ac:dyDescent="0.25">
      <c r="A14" s="7">
        <v>12</v>
      </c>
      <c r="B14" s="5">
        <v>45850</v>
      </c>
      <c r="C14" s="2" t="s">
        <v>21</v>
      </c>
      <c r="D14" s="2">
        <v>469000</v>
      </c>
      <c r="E14" s="2">
        <v>380800</v>
      </c>
      <c r="F14" s="2">
        <v>25505</v>
      </c>
      <c r="G14" s="2">
        <v>27530</v>
      </c>
      <c r="H14" s="2">
        <v>592517.4</v>
      </c>
      <c r="I14" s="2">
        <v>97405.8</v>
      </c>
      <c r="J14" s="2">
        <v>58496</v>
      </c>
      <c r="K14" s="2">
        <v>36802.9</v>
      </c>
      <c r="L14" s="4">
        <v>31500</v>
      </c>
      <c r="M14" s="4">
        <v>35102.9</v>
      </c>
      <c r="N14" s="4">
        <f t="shared" si="0"/>
        <v>734299</v>
      </c>
      <c r="O14" s="4">
        <f t="shared" si="1"/>
        <v>824295</v>
      </c>
      <c r="P14" s="4">
        <f t="shared" si="2"/>
        <v>453362.25000000006</v>
      </c>
      <c r="Q14" s="12">
        <f t="shared" si="3"/>
        <v>88.825757575757578</v>
      </c>
      <c r="R14" s="31">
        <f t="shared" si="3"/>
        <v>72.121212121212125</v>
      </c>
    </row>
    <row r="15" spans="1:18" x14ac:dyDescent="0.25">
      <c r="A15" s="7">
        <v>13</v>
      </c>
      <c r="B15" s="5">
        <v>45851</v>
      </c>
      <c r="C15" s="2" t="s">
        <v>21</v>
      </c>
      <c r="D15" s="2">
        <v>450500</v>
      </c>
      <c r="E15" s="2">
        <v>385000</v>
      </c>
      <c r="F15" s="2">
        <v>35470</v>
      </c>
      <c r="G15" s="2">
        <v>15960</v>
      </c>
      <c r="H15" s="2">
        <v>579727</v>
      </c>
      <c r="I15" s="2">
        <v>77109</v>
      </c>
      <c r="J15" s="2">
        <v>57445</v>
      </c>
      <c r="K15" s="2">
        <v>36654.5</v>
      </c>
      <c r="L15" s="4">
        <v>30200</v>
      </c>
      <c r="M15" s="4">
        <v>34854.5</v>
      </c>
      <c r="N15" s="4">
        <f t="shared" si="0"/>
        <v>712385</v>
      </c>
      <c r="O15" s="4">
        <f t="shared" si="1"/>
        <v>800030</v>
      </c>
      <c r="P15" s="4">
        <f t="shared" si="2"/>
        <v>440016.50000000006</v>
      </c>
      <c r="Q15" s="12">
        <f t="shared" si="3"/>
        <v>85.321969696969703</v>
      </c>
      <c r="R15" s="31">
        <f t="shared" si="3"/>
        <v>72.916666666666657</v>
      </c>
    </row>
    <row r="16" spans="1:18" x14ac:dyDescent="0.25">
      <c r="A16" s="7">
        <v>14</v>
      </c>
      <c r="B16" s="5">
        <v>45852</v>
      </c>
      <c r="C16" s="2" t="s">
        <v>21</v>
      </c>
      <c r="D16" s="2">
        <v>459900</v>
      </c>
      <c r="E16" s="2">
        <v>386200</v>
      </c>
      <c r="F16" s="2">
        <v>27510</v>
      </c>
      <c r="G16" s="2">
        <v>21070</v>
      </c>
      <c r="H16" s="2">
        <v>595763.80000000005</v>
      </c>
      <c r="I16" s="2">
        <v>83654.600000000006</v>
      </c>
      <c r="J16" s="2">
        <v>58887</v>
      </c>
      <c r="K16" s="2">
        <v>36077.300000000003</v>
      </c>
      <c r="L16" s="4">
        <v>30100</v>
      </c>
      <c r="M16" s="4">
        <v>35177.300000000003</v>
      </c>
      <c r="N16" s="4">
        <f t="shared" si="0"/>
        <v>729603</v>
      </c>
      <c r="O16" s="4">
        <f t="shared" si="1"/>
        <v>818590</v>
      </c>
      <c r="P16" s="4">
        <f t="shared" si="2"/>
        <v>450224.50000000006</v>
      </c>
      <c r="Q16" s="12">
        <f t="shared" si="3"/>
        <v>87.10227272727272</v>
      </c>
      <c r="R16" s="31">
        <f t="shared" si="3"/>
        <v>73.143939393939391</v>
      </c>
    </row>
    <row r="17" spans="1:19" x14ac:dyDescent="0.25">
      <c r="A17" s="7">
        <v>15</v>
      </c>
      <c r="B17" s="5">
        <v>45853</v>
      </c>
      <c r="C17" s="2" t="s">
        <v>21</v>
      </c>
      <c r="D17" s="2">
        <v>454300</v>
      </c>
      <c r="E17" s="2">
        <v>397500</v>
      </c>
      <c r="F17" s="2">
        <v>33005</v>
      </c>
      <c r="G17" s="2">
        <v>22215</v>
      </c>
      <c r="H17" s="2">
        <v>572902.19999999995</v>
      </c>
      <c r="I17" s="2">
        <v>106067.4</v>
      </c>
      <c r="J17" s="2">
        <v>59273</v>
      </c>
      <c r="K17" s="2">
        <v>35933.699999999997</v>
      </c>
      <c r="L17" s="4">
        <v>31200</v>
      </c>
      <c r="M17" s="4">
        <v>35633.699999999997</v>
      </c>
      <c r="N17" s="4">
        <f t="shared" si="0"/>
        <v>728322</v>
      </c>
      <c r="O17" s="4">
        <f t="shared" si="1"/>
        <v>818795</v>
      </c>
      <c r="P17" s="4">
        <f t="shared" si="2"/>
        <v>450337.25000000006</v>
      </c>
      <c r="Q17" s="12">
        <f t="shared" si="3"/>
        <v>86.041666666666671</v>
      </c>
      <c r="R17" s="31">
        <f t="shared" si="3"/>
        <v>75.284090909090907</v>
      </c>
    </row>
    <row r="18" spans="1:19" x14ac:dyDescent="0.25">
      <c r="A18" s="7">
        <v>16</v>
      </c>
      <c r="B18" s="5">
        <v>45854</v>
      </c>
      <c r="C18" s="2" t="s">
        <v>21</v>
      </c>
      <c r="D18" s="2">
        <v>450100</v>
      </c>
      <c r="E18" s="2">
        <v>389400</v>
      </c>
      <c r="F18" s="2">
        <v>41815</v>
      </c>
      <c r="G18" s="2">
        <v>24005</v>
      </c>
      <c r="H18" s="2">
        <v>555908.4</v>
      </c>
      <c r="I18" s="2">
        <v>104302.8</v>
      </c>
      <c r="J18" s="2">
        <v>58976</v>
      </c>
      <c r="K18" s="2">
        <v>36051.4</v>
      </c>
      <c r="L18" s="4">
        <v>31100</v>
      </c>
      <c r="M18" s="4">
        <v>35351.4</v>
      </c>
      <c r="N18" s="4">
        <f t="shared" si="0"/>
        <v>707609</v>
      </c>
      <c r="O18" s="4">
        <f t="shared" si="1"/>
        <v>797685</v>
      </c>
      <c r="P18" s="4">
        <f t="shared" si="2"/>
        <v>438726.75000000006</v>
      </c>
      <c r="Q18" s="12">
        <f t="shared" si="3"/>
        <v>85.24621212121211</v>
      </c>
      <c r="R18" s="31">
        <f t="shared" si="3"/>
        <v>73.75</v>
      </c>
    </row>
    <row r="19" spans="1:19" x14ac:dyDescent="0.25">
      <c r="A19" s="7">
        <v>17</v>
      </c>
      <c r="B19" s="5">
        <v>45855</v>
      </c>
      <c r="C19" s="2" t="s">
        <v>21</v>
      </c>
      <c r="D19" s="2">
        <v>430500</v>
      </c>
      <c r="E19" s="2">
        <v>386100</v>
      </c>
      <c r="F19" s="2">
        <v>22350</v>
      </c>
      <c r="G19" s="2">
        <v>32630</v>
      </c>
      <c r="H19" s="2">
        <v>577366.4</v>
      </c>
      <c r="I19" s="2">
        <v>88488.8</v>
      </c>
      <c r="J19" s="2">
        <v>59536</v>
      </c>
      <c r="K19" s="2">
        <v>35044.400000000001</v>
      </c>
      <c r="L19" s="4">
        <v>30800</v>
      </c>
      <c r="M19" s="4">
        <v>35644.400000000001</v>
      </c>
      <c r="N19" s="4">
        <f t="shared" si="0"/>
        <v>703914</v>
      </c>
      <c r="O19" s="4">
        <f t="shared" si="1"/>
        <v>794250</v>
      </c>
      <c r="P19" s="4">
        <f t="shared" si="2"/>
        <v>436837.50000000006</v>
      </c>
      <c r="Q19" s="12">
        <f t="shared" si="3"/>
        <v>81.534090909090907</v>
      </c>
      <c r="R19" s="31">
        <f t="shared" si="3"/>
        <v>73.125</v>
      </c>
    </row>
    <row r="20" spans="1:19" x14ac:dyDescent="0.25">
      <c r="A20" s="7">
        <v>18</v>
      </c>
      <c r="B20" s="5">
        <v>45856</v>
      </c>
      <c r="C20" s="2" t="s">
        <v>21</v>
      </c>
      <c r="D20" s="2">
        <v>464500</v>
      </c>
      <c r="E20" s="2">
        <v>387700</v>
      </c>
      <c r="F20" s="2">
        <v>38075</v>
      </c>
      <c r="G20" s="2">
        <v>15055</v>
      </c>
      <c r="H20" s="2">
        <v>588257.80000000005</v>
      </c>
      <c r="I20" s="2">
        <v>78852.600000000006</v>
      </c>
      <c r="J20" s="2">
        <v>59117</v>
      </c>
      <c r="K20" s="2">
        <v>36626.300000000003</v>
      </c>
      <c r="L20" s="4">
        <v>30000</v>
      </c>
      <c r="M20" s="4">
        <v>36326.300000000003</v>
      </c>
      <c r="N20" s="4">
        <f t="shared" si="0"/>
        <v>725008</v>
      </c>
      <c r="O20" s="4">
        <f t="shared" si="1"/>
        <v>814125</v>
      </c>
      <c r="P20" s="4">
        <f t="shared" si="2"/>
        <v>447768.75000000006</v>
      </c>
      <c r="Q20" s="12">
        <f t="shared" si="3"/>
        <v>87.973484848484844</v>
      </c>
      <c r="R20" s="31">
        <f t="shared" si="3"/>
        <v>73.428030303030297</v>
      </c>
    </row>
    <row r="21" spans="1:19" x14ac:dyDescent="0.25">
      <c r="A21" s="7">
        <v>19</v>
      </c>
      <c r="B21" s="5">
        <v>45857</v>
      </c>
      <c r="C21" s="2" t="s">
        <v>21</v>
      </c>
      <c r="D21" s="2">
        <v>460000</v>
      </c>
      <c r="E21" s="2">
        <v>396400</v>
      </c>
      <c r="F21" s="2">
        <v>27420</v>
      </c>
      <c r="G21" s="2">
        <v>19380</v>
      </c>
      <c r="H21" s="2">
        <v>602298</v>
      </c>
      <c r="I21" s="2">
        <v>85766</v>
      </c>
      <c r="J21" s="2">
        <v>57530</v>
      </c>
      <c r="K21" s="2">
        <v>36883</v>
      </c>
      <c r="L21" s="4">
        <v>29500</v>
      </c>
      <c r="M21" s="4">
        <v>36383</v>
      </c>
      <c r="N21" s="4">
        <f t="shared" si="0"/>
        <v>741950</v>
      </c>
      <c r="O21" s="4">
        <f t="shared" si="1"/>
        <v>828980</v>
      </c>
      <c r="P21" s="4">
        <f t="shared" si="2"/>
        <v>455939.00000000006</v>
      </c>
      <c r="Q21" s="12">
        <f t="shared" si="3"/>
        <v>87.121212121212125</v>
      </c>
      <c r="R21" s="31">
        <f t="shared" si="3"/>
        <v>75.075757575757578</v>
      </c>
    </row>
    <row r="22" spans="1:19" x14ac:dyDescent="0.25">
      <c r="A22" s="7">
        <v>20</v>
      </c>
      <c r="B22" s="5">
        <v>45858</v>
      </c>
      <c r="C22" s="2" t="s">
        <v>21</v>
      </c>
      <c r="D22" s="2">
        <v>465400</v>
      </c>
      <c r="E22" s="2">
        <v>388000</v>
      </c>
      <c r="F22" s="2">
        <v>24295</v>
      </c>
      <c r="G22" s="2">
        <v>25790</v>
      </c>
      <c r="H22" s="2">
        <v>593743</v>
      </c>
      <c r="I22" s="2">
        <v>98681</v>
      </c>
      <c r="J22" s="2">
        <v>60190</v>
      </c>
      <c r="K22" s="2">
        <v>36990.5</v>
      </c>
      <c r="L22" s="4">
        <v>29800</v>
      </c>
      <c r="M22" s="4">
        <v>35490.5</v>
      </c>
      <c r="N22" s="4">
        <f t="shared" si="0"/>
        <v>739115</v>
      </c>
      <c r="O22" s="4">
        <f t="shared" si="1"/>
        <v>829105</v>
      </c>
      <c r="P22" s="4">
        <f t="shared" si="2"/>
        <v>456007.75000000006</v>
      </c>
      <c r="Q22" s="12">
        <f t="shared" si="3"/>
        <v>88.143939393939391</v>
      </c>
      <c r="R22" s="31">
        <f t="shared" si="3"/>
        <v>73.484848484848484</v>
      </c>
    </row>
    <row r="23" spans="1:19" x14ac:dyDescent="0.25">
      <c r="A23" s="7">
        <v>21</v>
      </c>
      <c r="B23" s="5">
        <v>45859</v>
      </c>
      <c r="C23" s="2" t="s">
        <v>21</v>
      </c>
      <c r="D23" s="2">
        <v>450300</v>
      </c>
      <c r="E23" s="2">
        <v>395600</v>
      </c>
      <c r="F23" s="2">
        <v>18640</v>
      </c>
      <c r="G23" s="2">
        <v>33760</v>
      </c>
      <c r="H23" s="2">
        <v>594822.19999999995</v>
      </c>
      <c r="I23" s="2">
        <v>102207.4</v>
      </c>
      <c r="J23" s="2">
        <v>59583</v>
      </c>
      <c r="K23" s="2">
        <v>36953.699999999997</v>
      </c>
      <c r="L23" s="4">
        <v>31800</v>
      </c>
      <c r="M23" s="4">
        <v>35653.699999999997</v>
      </c>
      <c r="N23" s="4">
        <f t="shared" si="0"/>
        <v>735877</v>
      </c>
      <c r="O23" s="4">
        <f t="shared" si="1"/>
        <v>827260</v>
      </c>
      <c r="P23" s="4">
        <f t="shared" si="2"/>
        <v>454993.00000000006</v>
      </c>
      <c r="Q23" s="12">
        <f t="shared" si="3"/>
        <v>85.284090909090907</v>
      </c>
      <c r="R23" s="31">
        <f t="shared" si="3"/>
        <v>74.924242424242422</v>
      </c>
    </row>
    <row r="24" spans="1:19" x14ac:dyDescent="0.25">
      <c r="A24" s="7">
        <v>22</v>
      </c>
      <c r="B24" s="5">
        <v>45860</v>
      </c>
      <c r="C24" s="2" t="s">
        <v>21</v>
      </c>
      <c r="D24" s="2">
        <v>456600</v>
      </c>
      <c r="E24" s="2">
        <v>204300</v>
      </c>
      <c r="F24" s="2">
        <v>12825</v>
      </c>
      <c r="G24" s="2">
        <v>44945</v>
      </c>
      <c r="H24" s="2">
        <v>465743</v>
      </c>
      <c r="I24" s="2">
        <v>80281</v>
      </c>
      <c r="J24" s="2">
        <v>60215</v>
      </c>
      <c r="K24" s="2">
        <v>37890.5</v>
      </c>
      <c r="L24" s="4">
        <v>21600</v>
      </c>
      <c r="M24" s="4">
        <v>27290.5</v>
      </c>
      <c r="N24" s="4">
        <f t="shared" si="0"/>
        <v>566260</v>
      </c>
      <c r="O24" s="4">
        <f t="shared" si="1"/>
        <v>648075</v>
      </c>
      <c r="P24" s="4">
        <f t="shared" si="2"/>
        <v>356441.25</v>
      </c>
      <c r="Q24" s="12">
        <f t="shared" si="3"/>
        <v>86.47727272727272</v>
      </c>
      <c r="R24" s="31">
        <f t="shared" si="3"/>
        <v>38.693181818181813</v>
      </c>
    </row>
    <row r="25" spans="1:19" x14ac:dyDescent="0.25">
      <c r="A25" s="7">
        <v>23</v>
      </c>
      <c r="B25" s="5">
        <v>45861</v>
      </c>
      <c r="C25" s="2" t="s">
        <v>21</v>
      </c>
      <c r="D25" s="2">
        <v>437700</v>
      </c>
      <c r="E25" s="2">
        <v>187700</v>
      </c>
      <c r="F25" s="2">
        <v>10090</v>
      </c>
      <c r="G25" s="2">
        <v>50115</v>
      </c>
      <c r="H25" s="2">
        <v>445372.6</v>
      </c>
      <c r="I25" s="2">
        <v>73424.2</v>
      </c>
      <c r="J25" s="2">
        <v>60104</v>
      </c>
      <c r="K25" s="2">
        <v>37512.1</v>
      </c>
      <c r="L25" s="4">
        <v>19400</v>
      </c>
      <c r="M25" s="4">
        <v>29612.1</v>
      </c>
      <c r="N25" s="4">
        <f t="shared" si="0"/>
        <v>535806</v>
      </c>
      <c r="O25" s="4">
        <f t="shared" si="1"/>
        <v>615310</v>
      </c>
      <c r="P25" s="4">
        <f t="shared" si="2"/>
        <v>338420.5</v>
      </c>
      <c r="Q25" s="12">
        <f t="shared" si="3"/>
        <v>82.897727272727266</v>
      </c>
      <c r="R25" s="31">
        <f t="shared" si="3"/>
        <v>35.549242424242422</v>
      </c>
    </row>
    <row r="26" spans="1:19" x14ac:dyDescent="0.25">
      <c r="A26" s="7">
        <v>24</v>
      </c>
      <c r="B26" s="5">
        <v>45862</v>
      </c>
      <c r="C26" s="2" t="s">
        <v>21</v>
      </c>
      <c r="D26" s="2">
        <v>340100</v>
      </c>
      <c r="E26" s="2">
        <v>377100</v>
      </c>
      <c r="F26" s="2">
        <v>31350</v>
      </c>
      <c r="G26" s="2">
        <v>29285</v>
      </c>
      <c r="H26" s="2">
        <v>487912.8</v>
      </c>
      <c r="I26" s="2">
        <v>74737.600000000006</v>
      </c>
      <c r="J26" s="2">
        <v>49647</v>
      </c>
      <c r="K26" s="2">
        <v>37468.800000000003</v>
      </c>
      <c r="L26" s="4">
        <v>30200</v>
      </c>
      <c r="M26" s="4">
        <v>35168.800000000003</v>
      </c>
      <c r="N26" s="4">
        <f t="shared" si="0"/>
        <v>606003</v>
      </c>
      <c r="O26" s="4">
        <f t="shared" si="1"/>
        <v>685850</v>
      </c>
      <c r="P26" s="4">
        <f t="shared" si="2"/>
        <v>377217.50000000006</v>
      </c>
      <c r="Q26" s="12">
        <f t="shared" si="3"/>
        <v>64.412878787878796</v>
      </c>
      <c r="R26" s="31">
        <f t="shared" si="3"/>
        <v>71.420454545454547</v>
      </c>
    </row>
    <row r="27" spans="1:19" x14ac:dyDescent="0.25">
      <c r="A27" s="7">
        <v>25</v>
      </c>
      <c r="B27" s="5">
        <v>45863</v>
      </c>
      <c r="C27" s="2" t="s">
        <v>21</v>
      </c>
      <c r="D27" s="2">
        <v>109300</v>
      </c>
      <c r="E27" s="2">
        <v>389500</v>
      </c>
      <c r="F27" s="2">
        <v>6225</v>
      </c>
      <c r="G27" s="2">
        <v>56290</v>
      </c>
      <c r="H27" s="2">
        <v>378078.4</v>
      </c>
      <c r="I27" s="2">
        <v>47192.800000000003</v>
      </c>
      <c r="J27" s="2">
        <v>22001</v>
      </c>
      <c r="K27" s="2">
        <v>36396.400000000001</v>
      </c>
      <c r="L27" s="4">
        <v>29500</v>
      </c>
      <c r="M27" s="4">
        <v>35696.400000000001</v>
      </c>
      <c r="N27" s="4">
        <f t="shared" si="0"/>
        <v>441074</v>
      </c>
      <c r="O27" s="4">
        <f t="shared" si="1"/>
        <v>492575</v>
      </c>
      <c r="P27" s="4">
        <f t="shared" si="2"/>
        <v>270916.25</v>
      </c>
      <c r="Q27" s="12">
        <f t="shared" si="3"/>
        <v>20.700757575757574</v>
      </c>
      <c r="R27" s="31">
        <f t="shared" si="3"/>
        <v>73.768939393939391</v>
      </c>
    </row>
    <row r="28" spans="1:19" x14ac:dyDescent="0.25">
      <c r="A28" s="7">
        <v>26</v>
      </c>
      <c r="B28" s="5">
        <v>45864</v>
      </c>
      <c r="C28" s="2" t="s">
        <v>21</v>
      </c>
      <c r="D28" s="2">
        <v>181800</v>
      </c>
      <c r="E28" s="2">
        <v>375700</v>
      </c>
      <c r="F28" s="2">
        <v>2580</v>
      </c>
      <c r="G28" s="2">
        <v>62400</v>
      </c>
      <c r="H28" s="2">
        <v>432860.2</v>
      </c>
      <c r="I28" s="2">
        <v>53953.4</v>
      </c>
      <c r="J28" s="2">
        <v>32253</v>
      </c>
      <c r="K28" s="2">
        <v>34276.699999999997</v>
      </c>
      <c r="L28" s="4">
        <v>30000</v>
      </c>
      <c r="M28" s="4">
        <v>33976.699999999997</v>
      </c>
      <c r="N28" s="4">
        <f t="shared" si="0"/>
        <v>492667</v>
      </c>
      <c r="O28" s="4">
        <f t="shared" si="1"/>
        <v>554920</v>
      </c>
      <c r="P28" s="4">
        <f t="shared" si="2"/>
        <v>305206</v>
      </c>
      <c r="Q28" s="12">
        <f t="shared" si="3"/>
        <v>34.43181818181818</v>
      </c>
      <c r="R28" s="31">
        <f t="shared" si="3"/>
        <v>71.155303030303031</v>
      </c>
    </row>
    <row r="29" spans="1:19" x14ac:dyDescent="0.25">
      <c r="A29" s="7">
        <v>27</v>
      </c>
      <c r="B29" s="5">
        <v>45865</v>
      </c>
      <c r="C29" s="2" t="s">
        <v>21</v>
      </c>
      <c r="D29" s="2">
        <v>411100</v>
      </c>
      <c r="E29" s="2">
        <v>354800</v>
      </c>
      <c r="F29" s="2">
        <v>22030</v>
      </c>
      <c r="G29" s="2">
        <v>47410</v>
      </c>
      <c r="H29" s="2">
        <v>563645.19999999995</v>
      </c>
      <c r="I29" s="2">
        <v>73548.399999999994</v>
      </c>
      <c r="J29" s="2">
        <v>58138</v>
      </c>
      <c r="K29" s="2">
        <v>34224.199999999997</v>
      </c>
      <c r="L29" s="4">
        <v>28900</v>
      </c>
      <c r="M29" s="4">
        <v>32824.199999999997</v>
      </c>
      <c r="N29" s="4">
        <f t="shared" si="0"/>
        <v>656832</v>
      </c>
      <c r="O29" s="4">
        <f t="shared" si="1"/>
        <v>743870</v>
      </c>
      <c r="P29" s="4">
        <f t="shared" si="2"/>
        <v>409128.50000000006</v>
      </c>
      <c r="Q29" s="12">
        <f t="shared" si="3"/>
        <v>77.859848484848484</v>
      </c>
      <c r="R29" s="31">
        <f t="shared" si="3"/>
        <v>67.196969696969703</v>
      </c>
    </row>
    <row r="30" spans="1:19" s="19" customFormat="1" x14ac:dyDescent="0.25">
      <c r="A30" s="7">
        <v>28</v>
      </c>
      <c r="B30" s="5">
        <v>45866</v>
      </c>
      <c r="C30" s="33" t="s">
        <v>21</v>
      </c>
      <c r="D30" s="33">
        <v>338400</v>
      </c>
      <c r="E30" s="33">
        <v>370200</v>
      </c>
      <c r="F30" s="33">
        <v>40720</v>
      </c>
      <c r="G30" s="33">
        <v>13400</v>
      </c>
      <c r="H30" s="33">
        <v>463558.6</v>
      </c>
      <c r="I30" s="33">
        <v>75386.2</v>
      </c>
      <c r="J30" s="33">
        <v>46049</v>
      </c>
      <c r="K30" s="33">
        <v>34093.1</v>
      </c>
      <c r="L30" s="35">
        <v>28300</v>
      </c>
      <c r="M30" s="36">
        <v>33893.1</v>
      </c>
      <c r="N30" s="36">
        <f t="shared" si="0"/>
        <v>593531</v>
      </c>
      <c r="O30" s="36">
        <f t="shared" si="1"/>
        <v>667880</v>
      </c>
      <c r="P30" s="36">
        <f t="shared" si="2"/>
        <v>367334.00000000006</v>
      </c>
      <c r="Q30" s="37">
        <f t="shared" si="3"/>
        <v>64.090909090909093</v>
      </c>
      <c r="R30" s="38">
        <f t="shared" si="3"/>
        <v>70.113636363636374</v>
      </c>
      <c r="S30"/>
    </row>
    <row r="31" spans="1:19" x14ac:dyDescent="0.25">
      <c r="A31" s="7">
        <v>29</v>
      </c>
      <c r="B31" s="5">
        <v>45867</v>
      </c>
      <c r="C31" s="2" t="s">
        <v>21</v>
      </c>
      <c r="D31" s="2">
        <v>409700</v>
      </c>
      <c r="E31" s="2">
        <v>125600</v>
      </c>
      <c r="F31" s="2">
        <v>9540</v>
      </c>
      <c r="G31" s="2">
        <v>174235</v>
      </c>
      <c r="H31" s="2">
        <v>497654.8</v>
      </c>
      <c r="I31" s="2">
        <v>66851.600000000006</v>
      </c>
      <c r="J31" s="2">
        <v>57737</v>
      </c>
      <c r="K31" s="2">
        <v>34125.800000000003</v>
      </c>
      <c r="L31" s="4">
        <v>16900</v>
      </c>
      <c r="M31" s="4">
        <v>26725.8</v>
      </c>
      <c r="N31" s="4">
        <f t="shared" si="0"/>
        <v>451123</v>
      </c>
      <c r="O31" s="4">
        <f t="shared" si="1"/>
        <v>525760</v>
      </c>
      <c r="P31" s="4">
        <f>O31*0.55</f>
        <v>289168</v>
      </c>
      <c r="Q31" s="12">
        <f>(D31/528000)*100</f>
        <v>77.594696969696969</v>
      </c>
      <c r="R31" s="31">
        <f t="shared" ref="R31:R33" si="4">(E31/528000)*100</f>
        <v>23.787878787878789</v>
      </c>
    </row>
    <row r="32" spans="1:19" x14ac:dyDescent="0.25">
      <c r="A32" s="7">
        <v>30</v>
      </c>
      <c r="B32" s="5">
        <v>45868</v>
      </c>
      <c r="C32" s="2" t="s">
        <v>21</v>
      </c>
      <c r="D32" s="2">
        <v>426000</v>
      </c>
      <c r="E32" s="2">
        <v>383100</v>
      </c>
      <c r="F32" s="2">
        <v>19555</v>
      </c>
      <c r="G32" s="2">
        <v>39485</v>
      </c>
      <c r="H32" s="2">
        <v>593542.80000000005</v>
      </c>
      <c r="I32" s="2">
        <v>80047.600000000006</v>
      </c>
      <c r="J32" s="2">
        <v>59092</v>
      </c>
      <c r="K32" s="2">
        <v>33773.800000000003</v>
      </c>
      <c r="L32" s="4">
        <v>27800</v>
      </c>
      <c r="M32" s="4">
        <v>34773.800000000003</v>
      </c>
      <c r="N32" s="4">
        <f t="shared" si="0"/>
        <v>702653</v>
      </c>
      <c r="O32" s="4">
        <f t="shared" si="1"/>
        <v>789545</v>
      </c>
      <c r="P32" s="4">
        <f>O32*0.55</f>
        <v>434249.75000000006</v>
      </c>
      <c r="Q32" s="12">
        <f>(D32/528000)*100</f>
        <v>80.681818181818173</v>
      </c>
      <c r="R32" s="31">
        <f t="shared" si="4"/>
        <v>72.556818181818187</v>
      </c>
    </row>
    <row r="33" spans="1:18" x14ac:dyDescent="0.25">
      <c r="A33" s="7">
        <v>31</v>
      </c>
      <c r="B33" s="5">
        <v>45869</v>
      </c>
      <c r="C33" s="2" t="s">
        <v>21</v>
      </c>
      <c r="D33" s="2">
        <v>424400</v>
      </c>
      <c r="E33" s="2">
        <v>403000</v>
      </c>
      <c r="F33" s="2">
        <v>24965</v>
      </c>
      <c r="G33" s="2">
        <v>31825</v>
      </c>
      <c r="H33" s="2">
        <v>574129.19999999995</v>
      </c>
      <c r="I33" s="2">
        <v>101576.4</v>
      </c>
      <c r="J33" s="2">
        <v>59178</v>
      </c>
      <c r="K33" s="2">
        <v>33088.199999999997</v>
      </c>
      <c r="L33" s="4">
        <v>29400</v>
      </c>
      <c r="M33" s="4">
        <v>36888.199999999997</v>
      </c>
      <c r="N33" s="4">
        <f t="shared" si="0"/>
        <v>713857</v>
      </c>
      <c r="O33" s="4">
        <f t="shared" si="1"/>
        <v>802435</v>
      </c>
      <c r="P33" s="4">
        <f>O33*0.55</f>
        <v>441339.25000000006</v>
      </c>
      <c r="Q33" s="12">
        <f>(D33/528000)*100</f>
        <v>80.37878787878789</v>
      </c>
      <c r="R33" s="31">
        <f t="shared" si="4"/>
        <v>76.325757575757578</v>
      </c>
    </row>
    <row r="34" spans="1:18" x14ac:dyDescent="0.25">
      <c r="A34" s="2"/>
      <c r="B34" s="2"/>
      <c r="C34" s="8" t="s">
        <v>15</v>
      </c>
      <c r="D34" s="8">
        <f t="shared" ref="D34:P34" si="5">SUM(D3:D33)</f>
        <v>13145100</v>
      </c>
      <c r="E34" s="8">
        <f>SUM(E3:E33)</f>
        <v>11298700</v>
      </c>
      <c r="F34" s="8">
        <f t="shared" si="5"/>
        <v>838545</v>
      </c>
      <c r="G34" s="8">
        <f t="shared" si="5"/>
        <v>1022705</v>
      </c>
      <c r="H34" s="8">
        <f t="shared" si="5"/>
        <v>17114787</v>
      </c>
      <c r="I34" s="23">
        <f>SUM(I3:I33)</f>
        <v>2706129</v>
      </c>
      <c r="J34" s="8">
        <f t="shared" si="5"/>
        <v>1730515</v>
      </c>
      <c r="K34" s="8">
        <f t="shared" si="5"/>
        <v>1112164.5</v>
      </c>
      <c r="L34" s="8">
        <f>SUM(L3:L33)</f>
        <v>897200</v>
      </c>
      <c r="M34" s="8">
        <f>SUM(M3:M33)</f>
        <v>1067164.5</v>
      </c>
      <c r="N34" s="8">
        <f t="shared" si="5"/>
        <v>20977540</v>
      </c>
      <c r="O34" s="8">
        <f t="shared" si="5"/>
        <v>23605255</v>
      </c>
      <c r="P34" s="8">
        <f t="shared" si="5"/>
        <v>12982890.250000002</v>
      </c>
      <c r="Q34" s="13">
        <f>SUM(Q3:Q32)/30</f>
        <v>80.307449494949481</v>
      </c>
      <c r="R34" s="13">
        <f>SUM(R3:R33)/30</f>
        <v>71.330176767676761</v>
      </c>
    </row>
    <row r="35" spans="1:18" x14ac:dyDescent="0.25">
      <c r="A35" s="2"/>
      <c r="B35" s="2"/>
      <c r="C35" s="8" t="s">
        <v>16</v>
      </c>
      <c r="D35" s="2">
        <v>13145100</v>
      </c>
      <c r="E35" s="2">
        <v>11298700</v>
      </c>
      <c r="F35" s="2">
        <v>843438</v>
      </c>
      <c r="G35" s="2">
        <v>1023660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x14ac:dyDescent="0.25">
      <c r="A36" s="2"/>
      <c r="B36" s="2"/>
      <c r="C36" s="8" t="s">
        <v>17</v>
      </c>
      <c r="D36" s="2">
        <f>D34-D35</f>
        <v>0</v>
      </c>
      <c r="E36" s="2"/>
      <c r="F36" s="2"/>
      <c r="G36" s="2"/>
      <c r="H36" s="63">
        <v>-3938</v>
      </c>
      <c r="I36" s="64"/>
      <c r="J36" s="64"/>
      <c r="K36" s="64"/>
      <c r="L36" s="64"/>
      <c r="M36" s="65"/>
      <c r="N36" s="2"/>
      <c r="O36" s="2"/>
      <c r="P36" s="2"/>
      <c r="Q36" s="2"/>
      <c r="R36" s="2"/>
    </row>
    <row r="37" spans="1:18" x14ac:dyDescent="0.25">
      <c r="A37" s="2"/>
      <c r="B37" s="2"/>
      <c r="C37" s="8" t="s">
        <v>18</v>
      </c>
      <c r="D37" s="2"/>
      <c r="E37" s="2"/>
      <c r="F37" s="2"/>
      <c r="G37" s="2"/>
      <c r="H37" s="2">
        <v>17112818</v>
      </c>
      <c r="I37" s="2">
        <v>2705341.4</v>
      </c>
      <c r="J37" s="2"/>
      <c r="K37" s="2">
        <v>1111574</v>
      </c>
      <c r="L37" s="2"/>
      <c r="M37" s="2">
        <v>1066574</v>
      </c>
      <c r="N37" s="2"/>
      <c r="O37" s="2"/>
      <c r="P37" s="2"/>
      <c r="Q37" s="2"/>
      <c r="R37" s="2"/>
    </row>
    <row r="38" spans="1:18" x14ac:dyDescent="0.25">
      <c r="A38" s="2"/>
      <c r="B38" s="2"/>
      <c r="C38" s="8" t="s">
        <v>19</v>
      </c>
      <c r="D38" s="2">
        <v>665903.80000000005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 x14ac:dyDescent="0.25">
      <c r="A39" s="2"/>
      <c r="B39" s="2"/>
      <c r="C39" s="8" t="s">
        <v>20</v>
      </c>
      <c r="D39" s="2">
        <v>679048.9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 x14ac:dyDescent="0.25">
      <c r="A40" s="1"/>
      <c r="B40" s="1"/>
      <c r="C40" s="1"/>
      <c r="D40" s="1">
        <f>D39-D38</f>
        <v>13145.099999999977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x14ac:dyDescent="0.25">
      <c r="A42" s="1"/>
      <c r="B42" s="1"/>
      <c r="C42" s="1"/>
      <c r="D42" s="1"/>
      <c r="E42" s="1"/>
      <c r="F42" s="1"/>
      <c r="G42" s="1"/>
      <c r="H42" s="1"/>
      <c r="I42" s="24"/>
      <c r="J42" s="1"/>
      <c r="K42" s="1"/>
      <c r="L42" s="1"/>
      <c r="M42" s="1"/>
      <c r="N42" s="1"/>
      <c r="O42" s="1"/>
      <c r="P42" s="1"/>
      <c r="Q42" s="1"/>
      <c r="R42" s="1"/>
    </row>
    <row r="43" spans="1:18" x14ac:dyDescent="0.25">
      <c r="A43" s="1"/>
      <c r="B43" s="1"/>
      <c r="C43" s="1"/>
      <c r="D43" s="1"/>
      <c r="E43" s="1"/>
      <c r="F43" s="1"/>
      <c r="G43" s="24"/>
      <c r="H43" s="1"/>
      <c r="I43" s="20"/>
      <c r="J43" s="1"/>
      <c r="K43" s="1"/>
      <c r="L43" s="1"/>
      <c r="M43" s="1"/>
      <c r="N43" s="1"/>
      <c r="O43" s="1"/>
      <c r="P43" s="1"/>
      <c r="Q43" s="1"/>
      <c r="R43" s="1"/>
    </row>
    <row r="44" spans="1:18" x14ac:dyDescent="0.25">
      <c r="A44" s="1"/>
      <c r="B44" s="1"/>
      <c r="C44" s="1"/>
      <c r="D44" s="1"/>
      <c r="E44" s="1"/>
      <c r="F44" s="1"/>
      <c r="G44" s="1"/>
      <c r="H44" s="1"/>
      <c r="I44" s="32"/>
      <c r="J44" s="1"/>
      <c r="K44" s="1"/>
      <c r="L44" s="1"/>
      <c r="M44" s="1"/>
      <c r="N44" s="1"/>
      <c r="O44" s="1"/>
      <c r="P44" s="1"/>
      <c r="Q44" s="1"/>
      <c r="R44" s="1"/>
    </row>
    <row r="45" spans="1:18" x14ac:dyDescent="0.25">
      <c r="A45" s="1"/>
      <c r="B45" s="1"/>
      <c r="C45" s="1"/>
      <c r="D45" s="1"/>
      <c r="E45" s="1"/>
      <c r="F45" s="1"/>
      <c r="G45" s="1"/>
      <c r="H45" s="1"/>
      <c r="I45" s="32"/>
      <c r="J45" s="1"/>
      <c r="K45" s="1"/>
      <c r="L45" s="1"/>
      <c r="M45" s="1"/>
      <c r="N45" s="1"/>
      <c r="O45" s="1"/>
      <c r="P45" s="1"/>
      <c r="Q45" s="1"/>
      <c r="R45" s="1"/>
    </row>
    <row r="46" spans="1:18" x14ac:dyDescent="0.25">
      <c r="A46" s="1"/>
      <c r="B46" s="1"/>
      <c r="C46" s="1"/>
      <c r="D46" s="1"/>
      <c r="E46" s="1"/>
      <c r="F46" s="1"/>
      <c r="G46" s="1"/>
      <c r="H46" s="1"/>
      <c r="I46" s="32"/>
      <c r="J46" s="1"/>
      <c r="K46" s="1"/>
      <c r="L46" s="1"/>
      <c r="M46" s="1"/>
      <c r="N46" s="1"/>
      <c r="O46" s="1"/>
      <c r="P46" s="1"/>
      <c r="Q46" s="1"/>
      <c r="R46" s="1"/>
    </row>
    <row r="47" spans="1:18" x14ac:dyDescent="0.25">
      <c r="A47" s="1"/>
      <c r="B47" s="1"/>
      <c r="C47" s="1"/>
      <c r="D47" s="1"/>
      <c r="E47" s="1"/>
      <c r="F47" s="1"/>
      <c r="G47" s="1"/>
      <c r="H47" s="1"/>
      <c r="I47" s="32"/>
      <c r="J47" s="1"/>
      <c r="K47" s="1"/>
      <c r="L47" s="1"/>
      <c r="M47" s="1"/>
      <c r="N47" s="1"/>
      <c r="O47" s="1"/>
      <c r="P47" s="1"/>
      <c r="Q47" s="1"/>
      <c r="R47" s="1"/>
    </row>
    <row r="48" spans="1:18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</sheetData>
  <mergeCells count="2">
    <mergeCell ref="A1:R1"/>
    <mergeCell ref="H36:M36"/>
  </mergeCells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48"/>
  <sheetViews>
    <sheetView topLeftCell="A16" zoomScaleNormal="100" workbookViewId="0">
      <selection activeCell="G16" sqref="G16"/>
    </sheetView>
  </sheetViews>
  <sheetFormatPr defaultRowHeight="15" x14ac:dyDescent="0.25"/>
  <cols>
    <col min="1" max="1" width="5.5703125" bestFit="1" customWidth="1"/>
    <col min="2" max="2" width="10.140625" customWidth="1"/>
    <col min="3" max="3" width="18" customWidth="1"/>
    <col min="4" max="5" width="10.42578125" customWidth="1"/>
    <col min="6" max="6" width="11.7109375" customWidth="1"/>
    <col min="7" max="7" width="11.42578125" customWidth="1"/>
    <col min="8" max="8" width="12.7109375" customWidth="1"/>
    <col min="9" max="9" width="13.140625" customWidth="1"/>
    <col min="10" max="11" width="9.85546875" customWidth="1"/>
    <col min="12" max="12" width="11.140625" customWidth="1"/>
    <col min="13" max="13" width="9.7109375" customWidth="1"/>
    <col min="14" max="14" width="8.7109375" customWidth="1"/>
    <col min="15" max="15" width="13" customWidth="1"/>
    <col min="16" max="16" width="11.5703125" bestFit="1" customWidth="1"/>
    <col min="17" max="17" width="7.42578125" customWidth="1"/>
    <col min="18" max="18" width="9" customWidth="1"/>
  </cols>
  <sheetData>
    <row r="1" spans="1:18" ht="40.5" customHeight="1" thickBot="1" x14ac:dyDescent="0.3">
      <c r="A1" s="66" t="s">
        <v>90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</row>
    <row r="2" spans="1:18" ht="51.75" customHeight="1" thickBot="1" x14ac:dyDescent="0.3">
      <c r="A2" s="9" t="s">
        <v>0</v>
      </c>
      <c r="B2" s="10" t="s">
        <v>1</v>
      </c>
      <c r="C2" s="10" t="s">
        <v>2</v>
      </c>
      <c r="D2" s="21" t="s">
        <v>56</v>
      </c>
      <c r="E2" s="21" t="s">
        <v>57</v>
      </c>
      <c r="F2" s="21" t="s">
        <v>4</v>
      </c>
      <c r="G2" s="21" t="s">
        <v>5</v>
      </c>
      <c r="H2" s="21" t="s">
        <v>6</v>
      </c>
      <c r="I2" s="21" t="s">
        <v>7</v>
      </c>
      <c r="J2" s="21" t="s">
        <v>64</v>
      </c>
      <c r="K2" s="21" t="s">
        <v>66</v>
      </c>
      <c r="L2" s="21" t="s">
        <v>65</v>
      </c>
      <c r="M2" s="21" t="s">
        <v>67</v>
      </c>
      <c r="N2" s="21" t="s">
        <v>10</v>
      </c>
      <c r="O2" s="21" t="s">
        <v>11</v>
      </c>
      <c r="P2" s="10" t="s">
        <v>12</v>
      </c>
      <c r="Q2" s="29" t="s">
        <v>54</v>
      </c>
      <c r="R2" s="30" t="s">
        <v>55</v>
      </c>
    </row>
    <row r="3" spans="1:18" x14ac:dyDescent="0.25">
      <c r="A3" s="6">
        <v>1</v>
      </c>
      <c r="B3" s="5">
        <v>45809</v>
      </c>
      <c r="C3" s="4" t="s">
        <v>21</v>
      </c>
      <c r="D3" s="4">
        <v>443100</v>
      </c>
      <c r="E3" s="4">
        <v>469900</v>
      </c>
      <c r="F3" s="4">
        <v>75770</v>
      </c>
      <c r="G3" s="4">
        <v>275</v>
      </c>
      <c r="H3" s="4">
        <v>577544.6</v>
      </c>
      <c r="I3" s="4">
        <v>93248.2</v>
      </c>
      <c r="J3" s="4">
        <v>57264</v>
      </c>
      <c r="K3" s="4">
        <v>33924.1</v>
      </c>
      <c r="L3" s="4">
        <v>34100</v>
      </c>
      <c r="M3" s="4">
        <v>41424.1</v>
      </c>
      <c r="N3" s="4">
        <f>(D3+E3)-F3-J3-L3</f>
        <v>745866</v>
      </c>
      <c r="O3" s="4">
        <f>(D3+E3)-F3</f>
        <v>837230</v>
      </c>
      <c r="P3" s="4">
        <f>O3*0.55</f>
        <v>460476.50000000006</v>
      </c>
      <c r="Q3" s="12">
        <f>(D3/528000)*100</f>
        <v>83.920454545454547</v>
      </c>
      <c r="R3" s="31">
        <f>(E3/528000)*100</f>
        <v>88.996212121212125</v>
      </c>
    </row>
    <row r="4" spans="1:18" x14ac:dyDescent="0.25">
      <c r="A4" s="7">
        <v>2</v>
      </c>
      <c r="B4" s="5">
        <v>45810</v>
      </c>
      <c r="C4" s="2" t="s">
        <v>21</v>
      </c>
      <c r="D4" s="2">
        <v>480000</v>
      </c>
      <c r="E4" s="2">
        <v>461200</v>
      </c>
      <c r="F4" s="2">
        <v>100405</v>
      </c>
      <c r="G4" s="2">
        <v>25</v>
      </c>
      <c r="H4" s="2">
        <v>579738.19999999995</v>
      </c>
      <c r="I4" s="2">
        <v>92979.4</v>
      </c>
      <c r="J4" s="2">
        <v>59223</v>
      </c>
      <c r="K4" s="2">
        <v>34039.699999999997</v>
      </c>
      <c r="L4" s="4">
        <v>33500</v>
      </c>
      <c r="M4" s="4">
        <v>41339.699999999997</v>
      </c>
      <c r="N4" s="4">
        <f t="shared" ref="N4:N32" si="0">(D4+E4)-F4-J4-L4</f>
        <v>748072</v>
      </c>
      <c r="O4" s="4">
        <f t="shared" ref="O4:O32" si="1">(D4+E4)-F4</f>
        <v>840795</v>
      </c>
      <c r="P4" s="4">
        <f t="shared" ref="P4:P30" si="2">O4*0.55</f>
        <v>462437.25000000006</v>
      </c>
      <c r="Q4" s="12">
        <f>(D4/528000)*100</f>
        <v>90.909090909090907</v>
      </c>
      <c r="R4" s="31">
        <f>(E4/528000)*100</f>
        <v>87.348484848484858</v>
      </c>
    </row>
    <row r="5" spans="1:18" x14ac:dyDescent="0.25">
      <c r="A5" s="7">
        <v>3</v>
      </c>
      <c r="B5" s="5">
        <v>45811</v>
      </c>
      <c r="C5" s="2" t="s">
        <v>21</v>
      </c>
      <c r="D5" s="2">
        <v>447400</v>
      </c>
      <c r="E5" s="2">
        <v>451100</v>
      </c>
      <c r="F5" s="2">
        <v>88240</v>
      </c>
      <c r="G5" s="2">
        <v>70</v>
      </c>
      <c r="H5" s="2">
        <v>545700.80000000005</v>
      </c>
      <c r="I5" s="2">
        <v>99033.600000000006</v>
      </c>
      <c r="J5" s="2">
        <v>57762</v>
      </c>
      <c r="K5" s="2">
        <v>33616.800000000003</v>
      </c>
      <c r="L5" s="4">
        <v>33700</v>
      </c>
      <c r="M5" s="4">
        <v>40516.800000000003</v>
      </c>
      <c r="N5" s="4">
        <f t="shared" si="0"/>
        <v>718798</v>
      </c>
      <c r="O5" s="4">
        <f t="shared" si="1"/>
        <v>810260</v>
      </c>
      <c r="P5" s="4">
        <f t="shared" si="2"/>
        <v>445643.00000000006</v>
      </c>
      <c r="Q5" s="12">
        <f t="shared" ref="Q5:R30" si="3">(D5/528000)*100</f>
        <v>84.734848484848484</v>
      </c>
      <c r="R5" s="31">
        <f t="shared" si="3"/>
        <v>85.435606060606062</v>
      </c>
    </row>
    <row r="6" spans="1:18" x14ac:dyDescent="0.25">
      <c r="A6" s="7">
        <v>4</v>
      </c>
      <c r="B6" s="5">
        <v>45812</v>
      </c>
      <c r="C6" s="2" t="s">
        <v>21</v>
      </c>
      <c r="D6" s="2">
        <v>427200</v>
      </c>
      <c r="E6" s="2">
        <v>464600</v>
      </c>
      <c r="F6" s="2">
        <v>89660</v>
      </c>
      <c r="G6" s="2">
        <v>50</v>
      </c>
      <c r="H6" s="2">
        <v>568061.80000000005</v>
      </c>
      <c r="I6" s="2">
        <v>74020.600000000006</v>
      </c>
      <c r="J6" s="2">
        <v>57087</v>
      </c>
      <c r="K6" s="2">
        <v>30960.3</v>
      </c>
      <c r="L6" s="4">
        <v>32700</v>
      </c>
      <c r="M6" s="4">
        <v>39360.300000000003</v>
      </c>
      <c r="N6" s="4">
        <f t="shared" si="0"/>
        <v>712353</v>
      </c>
      <c r="O6" s="4">
        <f t="shared" si="1"/>
        <v>802140</v>
      </c>
      <c r="P6" s="4">
        <f t="shared" si="2"/>
        <v>441177.00000000006</v>
      </c>
      <c r="Q6" s="12">
        <f t="shared" si="3"/>
        <v>80.909090909090907</v>
      </c>
      <c r="R6" s="31">
        <f t="shared" si="3"/>
        <v>87.992424242424235</v>
      </c>
    </row>
    <row r="7" spans="1:18" x14ac:dyDescent="0.25">
      <c r="A7" s="7">
        <v>5</v>
      </c>
      <c r="B7" s="5">
        <v>45813</v>
      </c>
      <c r="C7" s="2" t="s">
        <v>21</v>
      </c>
      <c r="D7" s="2">
        <v>421200</v>
      </c>
      <c r="E7" s="2">
        <v>467500</v>
      </c>
      <c r="F7" s="2">
        <v>80345</v>
      </c>
      <c r="G7" s="2">
        <v>80</v>
      </c>
      <c r="H7" s="2">
        <v>560335.4</v>
      </c>
      <c r="I7" s="2">
        <v>92512</v>
      </c>
      <c r="J7" s="2">
        <v>57676</v>
      </c>
      <c r="K7" s="2">
        <v>26205.599999999999</v>
      </c>
      <c r="L7" s="4">
        <v>32300</v>
      </c>
      <c r="M7" s="4">
        <v>39406</v>
      </c>
      <c r="N7" s="4">
        <f t="shared" si="0"/>
        <v>718379</v>
      </c>
      <c r="O7" s="4">
        <f t="shared" si="1"/>
        <v>808355</v>
      </c>
      <c r="P7" s="4">
        <f t="shared" si="2"/>
        <v>444595.25000000006</v>
      </c>
      <c r="Q7" s="12">
        <f t="shared" si="3"/>
        <v>79.772727272727266</v>
      </c>
      <c r="R7" s="31">
        <f t="shared" si="3"/>
        <v>88.541666666666657</v>
      </c>
    </row>
    <row r="8" spans="1:18" x14ac:dyDescent="0.25">
      <c r="A8" s="7">
        <v>6</v>
      </c>
      <c r="B8" s="5">
        <v>45814</v>
      </c>
      <c r="C8" s="2" t="s">
        <v>21</v>
      </c>
      <c r="D8" s="2">
        <v>419600</v>
      </c>
      <c r="E8" s="2">
        <v>471600</v>
      </c>
      <c r="F8" s="2">
        <v>68150</v>
      </c>
      <c r="G8" s="2">
        <v>95</v>
      </c>
      <c r="H8" s="2">
        <v>582834.19999999995</v>
      </c>
      <c r="I8" s="2">
        <v>82411.399999999994</v>
      </c>
      <c r="J8" s="2">
        <v>57088</v>
      </c>
      <c r="K8" s="2">
        <v>27455.7</v>
      </c>
      <c r="L8" s="4">
        <v>33000</v>
      </c>
      <c r="M8" s="4">
        <v>40355.699999999997</v>
      </c>
      <c r="N8" s="4">
        <f t="shared" si="0"/>
        <v>732962</v>
      </c>
      <c r="O8" s="4">
        <f t="shared" si="1"/>
        <v>823050</v>
      </c>
      <c r="P8" s="4">
        <f t="shared" si="2"/>
        <v>452677.50000000006</v>
      </c>
      <c r="Q8" s="12">
        <f t="shared" si="3"/>
        <v>79.469696969696969</v>
      </c>
      <c r="R8" s="31">
        <f t="shared" si="3"/>
        <v>89.318181818181813</v>
      </c>
    </row>
    <row r="9" spans="1:18" x14ac:dyDescent="0.25">
      <c r="A9" s="7">
        <v>7</v>
      </c>
      <c r="B9" s="5">
        <v>45815</v>
      </c>
      <c r="C9" s="2" t="s">
        <v>21</v>
      </c>
      <c r="D9" s="2">
        <v>459300</v>
      </c>
      <c r="E9" s="2">
        <v>454600</v>
      </c>
      <c r="F9" s="2">
        <v>68915</v>
      </c>
      <c r="G9" s="2">
        <v>125</v>
      </c>
      <c r="H9" s="2">
        <v>578700</v>
      </c>
      <c r="I9" s="2">
        <v>104700</v>
      </c>
      <c r="J9" s="2">
        <v>57810</v>
      </c>
      <c r="K9" s="2">
        <v>30750</v>
      </c>
      <c r="L9" s="4">
        <v>32500</v>
      </c>
      <c r="M9" s="4">
        <v>40650</v>
      </c>
      <c r="N9" s="4">
        <f t="shared" si="0"/>
        <v>754675</v>
      </c>
      <c r="O9" s="4">
        <f t="shared" si="1"/>
        <v>844985</v>
      </c>
      <c r="P9" s="4">
        <f t="shared" si="2"/>
        <v>464741.75000000006</v>
      </c>
      <c r="Q9" s="12">
        <f t="shared" si="3"/>
        <v>86.98863636363636</v>
      </c>
      <c r="R9" s="31">
        <f t="shared" si="3"/>
        <v>86.098484848484844</v>
      </c>
    </row>
    <row r="10" spans="1:18" x14ac:dyDescent="0.25">
      <c r="A10" s="7">
        <v>8</v>
      </c>
      <c r="B10" s="5">
        <v>45816</v>
      </c>
      <c r="C10" s="2" t="s">
        <v>21</v>
      </c>
      <c r="D10" s="2">
        <v>450500</v>
      </c>
      <c r="E10" s="2">
        <v>462500</v>
      </c>
      <c r="F10" s="2">
        <v>68400</v>
      </c>
      <c r="G10" s="2">
        <v>280</v>
      </c>
      <c r="H10" s="2">
        <v>591893</v>
      </c>
      <c r="I10" s="2">
        <v>91331</v>
      </c>
      <c r="J10" s="2">
        <v>57525</v>
      </c>
      <c r="K10" s="2">
        <v>30815.5</v>
      </c>
      <c r="L10" s="4">
        <v>33100</v>
      </c>
      <c r="M10" s="4">
        <v>40215.5</v>
      </c>
      <c r="N10" s="4">
        <f t="shared" si="0"/>
        <v>753975</v>
      </c>
      <c r="O10" s="4">
        <f t="shared" si="1"/>
        <v>844600</v>
      </c>
      <c r="P10" s="4">
        <f t="shared" si="2"/>
        <v>464530.00000000006</v>
      </c>
      <c r="Q10" s="12">
        <f t="shared" si="3"/>
        <v>85.321969696969703</v>
      </c>
      <c r="R10" s="31">
        <f t="shared" si="3"/>
        <v>87.594696969696969</v>
      </c>
    </row>
    <row r="11" spans="1:18" x14ac:dyDescent="0.25">
      <c r="A11" s="7">
        <v>9</v>
      </c>
      <c r="B11" s="5">
        <v>45817</v>
      </c>
      <c r="C11" s="2" t="s">
        <v>21</v>
      </c>
      <c r="D11" s="2">
        <v>422500</v>
      </c>
      <c r="E11" s="2">
        <v>470300</v>
      </c>
      <c r="F11" s="2">
        <v>66955</v>
      </c>
      <c r="G11" s="2">
        <v>185</v>
      </c>
      <c r="H11" s="2">
        <v>580986.19999999995</v>
      </c>
      <c r="I11" s="2">
        <v>82195.399999999994</v>
      </c>
      <c r="J11" s="2">
        <v>56453</v>
      </c>
      <c r="K11" s="2">
        <v>32297.7</v>
      </c>
      <c r="L11" s="4">
        <v>32600</v>
      </c>
      <c r="M11" s="4">
        <v>41497.699999999997</v>
      </c>
      <c r="N11" s="4">
        <f t="shared" si="0"/>
        <v>736792</v>
      </c>
      <c r="O11" s="4">
        <f t="shared" si="1"/>
        <v>825845</v>
      </c>
      <c r="P11" s="4">
        <f t="shared" si="2"/>
        <v>454214.75000000006</v>
      </c>
      <c r="Q11" s="12">
        <f t="shared" si="3"/>
        <v>80.018939393939391</v>
      </c>
      <c r="R11" s="31">
        <f t="shared" si="3"/>
        <v>89.071969696969703</v>
      </c>
    </row>
    <row r="12" spans="1:18" x14ac:dyDescent="0.25">
      <c r="A12" s="7">
        <v>10</v>
      </c>
      <c r="B12" s="5">
        <v>45818</v>
      </c>
      <c r="C12" s="2" t="s">
        <v>21</v>
      </c>
      <c r="D12" s="2">
        <v>404600</v>
      </c>
      <c r="E12" s="2">
        <v>468800</v>
      </c>
      <c r="F12" s="2">
        <v>75240</v>
      </c>
      <c r="G12" s="2">
        <v>135</v>
      </c>
      <c r="H12" s="2">
        <v>573006.19999999995</v>
      </c>
      <c r="I12" s="2">
        <v>63035.4</v>
      </c>
      <c r="J12" s="2">
        <v>55318</v>
      </c>
      <c r="K12" s="2">
        <v>32267.7</v>
      </c>
      <c r="L12" s="4">
        <v>32500</v>
      </c>
      <c r="M12" s="4">
        <v>42167.7</v>
      </c>
      <c r="N12" s="4">
        <f t="shared" si="0"/>
        <v>710342</v>
      </c>
      <c r="O12" s="4">
        <f t="shared" si="1"/>
        <v>798160</v>
      </c>
      <c r="P12" s="4">
        <f t="shared" si="2"/>
        <v>438988.00000000006</v>
      </c>
      <c r="Q12" s="12">
        <f t="shared" si="3"/>
        <v>76.628787878787875</v>
      </c>
      <c r="R12" s="31">
        <f t="shared" si="3"/>
        <v>88.787878787878796</v>
      </c>
    </row>
    <row r="13" spans="1:18" x14ac:dyDescent="0.25">
      <c r="A13" s="7">
        <v>11</v>
      </c>
      <c r="B13" s="5">
        <v>45819</v>
      </c>
      <c r="C13" s="2" t="s">
        <v>21</v>
      </c>
      <c r="D13" s="2">
        <v>385100</v>
      </c>
      <c r="E13" s="2">
        <v>434500</v>
      </c>
      <c r="F13" s="2">
        <v>56105</v>
      </c>
      <c r="G13" s="2">
        <v>1565</v>
      </c>
      <c r="H13" s="2">
        <v>542769.6</v>
      </c>
      <c r="I13" s="2">
        <v>68423.199999999997</v>
      </c>
      <c r="J13" s="2">
        <v>52244</v>
      </c>
      <c r="K13" s="2">
        <v>30561.599999999999</v>
      </c>
      <c r="L13" s="4">
        <v>30600</v>
      </c>
      <c r="M13" s="4">
        <v>40461.599999999999</v>
      </c>
      <c r="N13" s="4">
        <f t="shared" si="0"/>
        <v>680651</v>
      </c>
      <c r="O13" s="4">
        <f t="shared" si="1"/>
        <v>763495</v>
      </c>
      <c r="P13" s="4">
        <f t="shared" si="2"/>
        <v>419922.25000000006</v>
      </c>
      <c r="Q13" s="12">
        <f t="shared" si="3"/>
        <v>72.935606060606062</v>
      </c>
      <c r="R13" s="31">
        <f t="shared" si="3"/>
        <v>82.291666666666657</v>
      </c>
    </row>
    <row r="14" spans="1:18" x14ac:dyDescent="0.25">
      <c r="A14" s="7">
        <v>12</v>
      </c>
      <c r="B14" s="5">
        <v>45820</v>
      </c>
      <c r="C14" s="2" t="s">
        <v>21</v>
      </c>
      <c r="D14" s="2">
        <v>423000</v>
      </c>
      <c r="E14" s="2">
        <v>457700</v>
      </c>
      <c r="F14" s="2">
        <v>46420</v>
      </c>
      <c r="G14" s="2">
        <v>6090</v>
      </c>
      <c r="H14" s="2">
        <v>587330.6</v>
      </c>
      <c r="I14" s="2">
        <v>89910.2</v>
      </c>
      <c r="J14" s="2">
        <v>57819</v>
      </c>
      <c r="K14" s="2">
        <v>31405.1</v>
      </c>
      <c r="L14" s="4">
        <v>32800</v>
      </c>
      <c r="M14" s="4">
        <v>41105.1</v>
      </c>
      <c r="N14" s="4">
        <f t="shared" si="0"/>
        <v>743661</v>
      </c>
      <c r="O14" s="4">
        <f t="shared" si="1"/>
        <v>834280</v>
      </c>
      <c r="P14" s="4">
        <f t="shared" si="2"/>
        <v>458854.00000000006</v>
      </c>
      <c r="Q14" s="12">
        <f t="shared" si="3"/>
        <v>80.11363636363636</v>
      </c>
      <c r="R14" s="31">
        <f t="shared" si="3"/>
        <v>86.685606060606062</v>
      </c>
    </row>
    <row r="15" spans="1:18" x14ac:dyDescent="0.25">
      <c r="A15" s="7">
        <v>13</v>
      </c>
      <c r="B15" s="5">
        <v>45821</v>
      </c>
      <c r="C15" s="2" t="s">
        <v>21</v>
      </c>
      <c r="D15" s="2">
        <v>411400</v>
      </c>
      <c r="E15" s="2">
        <v>453100</v>
      </c>
      <c r="F15" s="2">
        <v>45265</v>
      </c>
      <c r="G15" s="2">
        <v>8045</v>
      </c>
      <c r="H15" s="2">
        <v>581626.6</v>
      </c>
      <c r="I15" s="2">
        <v>85742.2</v>
      </c>
      <c r="J15" s="2">
        <v>54569</v>
      </c>
      <c r="K15" s="2">
        <v>32321.1</v>
      </c>
      <c r="L15" s="4">
        <v>32300</v>
      </c>
      <c r="M15" s="4">
        <v>40721.1</v>
      </c>
      <c r="N15" s="4">
        <f t="shared" si="0"/>
        <v>732366</v>
      </c>
      <c r="O15" s="4">
        <f t="shared" si="1"/>
        <v>819235</v>
      </c>
      <c r="P15" s="4">
        <f t="shared" si="2"/>
        <v>450579.25000000006</v>
      </c>
      <c r="Q15" s="12">
        <f t="shared" si="3"/>
        <v>77.916666666666671</v>
      </c>
      <c r="R15" s="31">
        <f t="shared" si="3"/>
        <v>85.814393939393938</v>
      </c>
    </row>
    <row r="16" spans="1:18" x14ac:dyDescent="0.25">
      <c r="A16" s="7">
        <v>14</v>
      </c>
      <c r="B16" s="5">
        <v>45822</v>
      </c>
      <c r="C16" s="2" t="s">
        <v>21</v>
      </c>
      <c r="D16" s="2">
        <v>431300</v>
      </c>
      <c r="E16" s="2">
        <v>439100</v>
      </c>
      <c r="F16" s="2">
        <v>38840</v>
      </c>
      <c r="G16" s="2">
        <v>6080</v>
      </c>
      <c r="H16" s="2">
        <v>586493.19999999995</v>
      </c>
      <c r="I16" s="2">
        <v>87364.4</v>
      </c>
      <c r="J16" s="2">
        <v>58118</v>
      </c>
      <c r="K16" s="2">
        <v>32682.2</v>
      </c>
      <c r="L16" s="4">
        <v>33300</v>
      </c>
      <c r="M16" s="4">
        <v>39682.199999999997</v>
      </c>
      <c r="N16" s="4">
        <f t="shared" si="0"/>
        <v>740142</v>
      </c>
      <c r="O16" s="4">
        <f t="shared" si="1"/>
        <v>831560</v>
      </c>
      <c r="P16" s="4">
        <f t="shared" si="2"/>
        <v>457358.00000000006</v>
      </c>
      <c r="Q16" s="12">
        <f t="shared" si="3"/>
        <v>81.685606060606062</v>
      </c>
      <c r="R16" s="31">
        <f t="shared" si="3"/>
        <v>83.162878787878796</v>
      </c>
    </row>
    <row r="17" spans="1:19" x14ac:dyDescent="0.25">
      <c r="A17" s="7">
        <v>15</v>
      </c>
      <c r="B17" s="5">
        <v>45823</v>
      </c>
      <c r="C17" s="2" t="s">
        <v>21</v>
      </c>
      <c r="D17" s="2">
        <v>430000</v>
      </c>
      <c r="E17" s="2">
        <v>445800</v>
      </c>
      <c r="F17" s="2">
        <v>43300</v>
      </c>
      <c r="G17" s="2">
        <v>4995</v>
      </c>
      <c r="H17" s="2">
        <v>592179.6</v>
      </c>
      <c r="I17" s="2">
        <v>83493.2</v>
      </c>
      <c r="J17" s="2">
        <v>56929</v>
      </c>
      <c r="K17" s="2">
        <v>32796.6</v>
      </c>
      <c r="L17" s="4">
        <v>31900</v>
      </c>
      <c r="M17" s="4">
        <v>40196.6</v>
      </c>
      <c r="N17" s="4">
        <f t="shared" si="0"/>
        <v>743671</v>
      </c>
      <c r="O17" s="4">
        <f t="shared" si="1"/>
        <v>832500</v>
      </c>
      <c r="P17" s="4">
        <f t="shared" si="2"/>
        <v>457875.00000000006</v>
      </c>
      <c r="Q17" s="12">
        <f t="shared" si="3"/>
        <v>81.439393939393938</v>
      </c>
      <c r="R17" s="31">
        <f t="shared" si="3"/>
        <v>84.431818181818187</v>
      </c>
    </row>
    <row r="18" spans="1:19" x14ac:dyDescent="0.25">
      <c r="A18" s="7">
        <v>16</v>
      </c>
      <c r="B18" s="5">
        <v>45824</v>
      </c>
      <c r="C18" s="2" t="s">
        <v>21</v>
      </c>
      <c r="D18" s="2">
        <v>427500</v>
      </c>
      <c r="E18" s="2">
        <v>449000</v>
      </c>
      <c r="F18" s="2">
        <v>42620</v>
      </c>
      <c r="G18" s="2">
        <v>6945</v>
      </c>
      <c r="H18" s="2">
        <v>581652</v>
      </c>
      <c r="I18" s="2">
        <v>98184</v>
      </c>
      <c r="J18" s="2">
        <v>57705</v>
      </c>
      <c r="K18" s="2">
        <v>33292</v>
      </c>
      <c r="L18" s="4">
        <v>30700</v>
      </c>
      <c r="M18" s="4">
        <v>39292</v>
      </c>
      <c r="N18" s="4">
        <f t="shared" si="0"/>
        <v>745475</v>
      </c>
      <c r="O18" s="4">
        <f t="shared" si="1"/>
        <v>833880</v>
      </c>
      <c r="P18" s="4">
        <f t="shared" si="2"/>
        <v>458634.00000000006</v>
      </c>
      <c r="Q18" s="12">
        <f t="shared" si="3"/>
        <v>80.965909090909093</v>
      </c>
      <c r="R18" s="31">
        <f t="shared" si="3"/>
        <v>85.037878787878782</v>
      </c>
    </row>
    <row r="19" spans="1:19" x14ac:dyDescent="0.25">
      <c r="A19" s="7">
        <v>17</v>
      </c>
      <c r="B19" s="5">
        <v>45825</v>
      </c>
      <c r="C19" s="2" t="s">
        <v>21</v>
      </c>
      <c r="D19" s="2">
        <v>419000</v>
      </c>
      <c r="E19" s="2">
        <v>438500</v>
      </c>
      <c r="F19" s="2">
        <v>40230</v>
      </c>
      <c r="G19" s="2">
        <v>4165</v>
      </c>
      <c r="H19" s="2">
        <v>575626.4</v>
      </c>
      <c r="I19" s="2">
        <v>87108.800000000003</v>
      </c>
      <c r="J19" s="2">
        <v>56491</v>
      </c>
      <c r="K19" s="2">
        <v>33054.400000000001</v>
      </c>
      <c r="L19" s="4">
        <v>29900</v>
      </c>
      <c r="M19" s="4">
        <v>39254.400000000001</v>
      </c>
      <c r="N19" s="4">
        <f t="shared" si="0"/>
        <v>730879</v>
      </c>
      <c r="O19" s="4">
        <f t="shared" si="1"/>
        <v>817270</v>
      </c>
      <c r="P19" s="4">
        <f t="shared" si="2"/>
        <v>449498.50000000006</v>
      </c>
      <c r="Q19" s="12">
        <f t="shared" si="3"/>
        <v>79.356060606060609</v>
      </c>
      <c r="R19" s="31">
        <f t="shared" si="3"/>
        <v>83.049242424242422</v>
      </c>
    </row>
    <row r="20" spans="1:19" x14ac:dyDescent="0.25">
      <c r="A20" s="7">
        <v>18</v>
      </c>
      <c r="B20" s="5">
        <v>45826</v>
      </c>
      <c r="C20" s="2" t="s">
        <v>21</v>
      </c>
      <c r="D20" s="2">
        <v>413500</v>
      </c>
      <c r="E20" s="2">
        <v>420800</v>
      </c>
      <c r="F20" s="2">
        <v>37815</v>
      </c>
      <c r="G20" s="2">
        <v>12965</v>
      </c>
      <c r="H20" s="2">
        <v>567842.6</v>
      </c>
      <c r="I20" s="2">
        <v>86214.2</v>
      </c>
      <c r="J20" s="2">
        <v>52679</v>
      </c>
      <c r="K20" s="2">
        <v>35857.1</v>
      </c>
      <c r="L20" s="4">
        <v>29700</v>
      </c>
      <c r="M20" s="4">
        <v>37157.1</v>
      </c>
      <c r="N20" s="4">
        <f t="shared" si="0"/>
        <v>714106</v>
      </c>
      <c r="O20" s="4">
        <f t="shared" si="1"/>
        <v>796485</v>
      </c>
      <c r="P20" s="4">
        <f t="shared" si="2"/>
        <v>438066.75000000006</v>
      </c>
      <c r="Q20" s="12">
        <f t="shared" si="3"/>
        <v>78.314393939393938</v>
      </c>
      <c r="R20" s="31">
        <f t="shared" si="3"/>
        <v>79.696969696969703</v>
      </c>
    </row>
    <row r="21" spans="1:19" x14ac:dyDescent="0.25">
      <c r="A21" s="7">
        <v>19</v>
      </c>
      <c r="B21" s="5">
        <v>45827</v>
      </c>
      <c r="C21" s="2" t="s">
        <v>21</v>
      </c>
      <c r="D21" s="2">
        <v>442600</v>
      </c>
      <c r="E21" s="2">
        <v>411200</v>
      </c>
      <c r="F21" s="2">
        <v>31400</v>
      </c>
      <c r="G21" s="2">
        <v>16810</v>
      </c>
      <c r="H21" s="2">
        <v>591455.80000000005</v>
      </c>
      <c r="I21" s="2">
        <v>89718.6</v>
      </c>
      <c r="J21" s="2">
        <v>54217</v>
      </c>
      <c r="K21" s="2">
        <v>36059.300000000003</v>
      </c>
      <c r="L21" s="4">
        <v>30300</v>
      </c>
      <c r="M21" s="4">
        <v>37459.300000000003</v>
      </c>
      <c r="N21" s="4">
        <f t="shared" si="0"/>
        <v>737883</v>
      </c>
      <c r="O21" s="4">
        <f t="shared" si="1"/>
        <v>822400</v>
      </c>
      <c r="P21" s="4">
        <f t="shared" si="2"/>
        <v>452320.00000000006</v>
      </c>
      <c r="Q21" s="12">
        <f t="shared" si="3"/>
        <v>83.825757575757578</v>
      </c>
      <c r="R21" s="31">
        <f t="shared" si="3"/>
        <v>77.878787878787875</v>
      </c>
    </row>
    <row r="22" spans="1:19" x14ac:dyDescent="0.25">
      <c r="A22" s="7">
        <v>20</v>
      </c>
      <c r="B22" s="5">
        <v>45828</v>
      </c>
      <c r="C22" s="2" t="s">
        <v>21</v>
      </c>
      <c r="D22" s="2">
        <v>464200</v>
      </c>
      <c r="E22" s="2">
        <v>354500</v>
      </c>
      <c r="F22" s="2">
        <v>17050</v>
      </c>
      <c r="G22" s="2">
        <v>59340</v>
      </c>
      <c r="H22" s="2">
        <v>600873.19999999995</v>
      </c>
      <c r="I22" s="2">
        <v>102424.4</v>
      </c>
      <c r="J22" s="2">
        <v>57468</v>
      </c>
      <c r="K22" s="2">
        <v>35912.199999999997</v>
      </c>
      <c r="L22" s="4">
        <v>28700</v>
      </c>
      <c r="M22" s="4">
        <v>35612.199999999997</v>
      </c>
      <c r="N22" s="4">
        <f t="shared" si="0"/>
        <v>715482</v>
      </c>
      <c r="O22" s="4">
        <f t="shared" si="1"/>
        <v>801650</v>
      </c>
      <c r="P22" s="4">
        <f t="shared" si="2"/>
        <v>440907.50000000006</v>
      </c>
      <c r="Q22" s="12">
        <f t="shared" si="3"/>
        <v>87.916666666666671</v>
      </c>
      <c r="R22" s="31">
        <f t="shared" si="3"/>
        <v>67.140151515151516</v>
      </c>
    </row>
    <row r="23" spans="1:19" x14ac:dyDescent="0.25">
      <c r="A23" s="7">
        <v>21</v>
      </c>
      <c r="B23" s="5">
        <v>45829</v>
      </c>
      <c r="C23" s="2" t="s">
        <v>21</v>
      </c>
      <c r="D23" s="2">
        <v>490800</v>
      </c>
      <c r="E23" s="2">
        <v>5200</v>
      </c>
      <c r="F23" s="2">
        <v>245</v>
      </c>
      <c r="G23" s="2">
        <v>290730</v>
      </c>
      <c r="H23" s="2">
        <v>565258.80000000005</v>
      </c>
      <c r="I23" s="2">
        <v>95619.6</v>
      </c>
      <c r="J23" s="2">
        <v>59687</v>
      </c>
      <c r="K23" s="2">
        <v>36209.800000000003</v>
      </c>
      <c r="L23" s="4">
        <v>9300</v>
      </c>
      <c r="M23" s="4">
        <v>20409.8</v>
      </c>
      <c r="N23" s="4">
        <f t="shared" si="0"/>
        <v>426768</v>
      </c>
      <c r="O23" s="4">
        <f t="shared" si="1"/>
        <v>495755</v>
      </c>
      <c r="P23" s="4">
        <f t="shared" si="2"/>
        <v>272665.25</v>
      </c>
      <c r="Q23" s="12">
        <f t="shared" si="3"/>
        <v>92.954545454545453</v>
      </c>
      <c r="R23" s="31">
        <f t="shared" si="3"/>
        <v>0.98484848484848475</v>
      </c>
    </row>
    <row r="24" spans="1:19" x14ac:dyDescent="0.25">
      <c r="A24" s="7">
        <v>22</v>
      </c>
      <c r="B24" s="5">
        <v>45830</v>
      </c>
      <c r="C24" s="2" t="s">
        <v>21</v>
      </c>
      <c r="D24" s="2">
        <v>478800</v>
      </c>
      <c r="E24" s="2">
        <v>0</v>
      </c>
      <c r="F24" s="2">
        <v>0</v>
      </c>
      <c r="G24" s="2">
        <v>277425</v>
      </c>
      <c r="H24" s="2">
        <v>541414</v>
      </c>
      <c r="I24" s="2">
        <v>99838</v>
      </c>
      <c r="J24" s="2">
        <v>59635</v>
      </c>
      <c r="K24" s="2">
        <v>36319</v>
      </c>
      <c r="L24" s="4">
        <v>5900</v>
      </c>
      <c r="M24" s="4">
        <v>13119</v>
      </c>
      <c r="N24" s="4">
        <f t="shared" si="0"/>
        <v>413265</v>
      </c>
      <c r="O24" s="4">
        <f t="shared" si="1"/>
        <v>478800</v>
      </c>
      <c r="P24" s="4">
        <f t="shared" si="2"/>
        <v>263340</v>
      </c>
      <c r="Q24" s="12">
        <f t="shared" si="3"/>
        <v>90.681818181818187</v>
      </c>
      <c r="R24" s="31">
        <f t="shared" si="3"/>
        <v>0</v>
      </c>
    </row>
    <row r="25" spans="1:19" x14ac:dyDescent="0.25">
      <c r="A25" s="7">
        <v>23</v>
      </c>
      <c r="B25" s="5">
        <v>45831</v>
      </c>
      <c r="C25" s="2" t="s">
        <v>21</v>
      </c>
      <c r="D25" s="2">
        <v>476500</v>
      </c>
      <c r="E25" s="2">
        <v>0</v>
      </c>
      <c r="F25" s="2">
        <v>45</v>
      </c>
      <c r="G25" s="2">
        <v>297490</v>
      </c>
      <c r="H25" s="2">
        <v>563978.19999999995</v>
      </c>
      <c r="I25" s="2">
        <v>98959.4</v>
      </c>
      <c r="J25" s="2">
        <v>59348</v>
      </c>
      <c r="K25" s="2">
        <v>36429.699999999997</v>
      </c>
      <c r="L25" s="4">
        <v>4800</v>
      </c>
      <c r="M25" s="4">
        <v>10429.700000000001</v>
      </c>
      <c r="N25" s="4">
        <f t="shared" si="0"/>
        <v>412307</v>
      </c>
      <c r="O25" s="4">
        <f t="shared" si="1"/>
        <v>476455</v>
      </c>
      <c r="P25" s="4">
        <f t="shared" si="2"/>
        <v>262050.25000000003</v>
      </c>
      <c r="Q25" s="12">
        <f t="shared" si="3"/>
        <v>90.246212121212125</v>
      </c>
      <c r="R25" s="31">
        <f t="shared" si="3"/>
        <v>0</v>
      </c>
    </row>
    <row r="26" spans="1:19" x14ac:dyDescent="0.25">
      <c r="A26" s="7">
        <v>24</v>
      </c>
      <c r="B26" s="5">
        <v>45832</v>
      </c>
      <c r="C26" s="2" t="s">
        <v>21</v>
      </c>
      <c r="D26" s="2">
        <v>470300</v>
      </c>
      <c r="E26" s="2">
        <v>0</v>
      </c>
      <c r="F26" s="2">
        <v>9.9</v>
      </c>
      <c r="G26" s="2">
        <v>292650</v>
      </c>
      <c r="H26" s="2">
        <v>569112</v>
      </c>
      <c r="I26" s="2">
        <v>84104</v>
      </c>
      <c r="J26" s="2">
        <v>59621</v>
      </c>
      <c r="K26" s="2">
        <v>36501.199999999997</v>
      </c>
      <c r="L26" s="4">
        <v>4700</v>
      </c>
      <c r="M26" s="4">
        <v>8901.9</v>
      </c>
      <c r="N26" s="4">
        <f t="shared" si="0"/>
        <v>405969.1</v>
      </c>
      <c r="O26" s="4">
        <f t="shared" si="1"/>
        <v>470290.1</v>
      </c>
      <c r="P26" s="4">
        <f t="shared" si="2"/>
        <v>258659.55500000002</v>
      </c>
      <c r="Q26" s="12">
        <f t="shared" si="3"/>
        <v>89.071969696969703</v>
      </c>
      <c r="R26" s="31">
        <f t="shared" si="3"/>
        <v>0</v>
      </c>
    </row>
    <row r="27" spans="1:19" x14ac:dyDescent="0.25">
      <c r="A27" s="7">
        <v>25</v>
      </c>
      <c r="B27" s="5">
        <v>45833</v>
      </c>
      <c r="C27" s="2" t="s">
        <v>21</v>
      </c>
      <c r="D27" s="2">
        <v>483400</v>
      </c>
      <c r="E27" s="2">
        <v>185200</v>
      </c>
      <c r="F27" s="2">
        <v>3130</v>
      </c>
      <c r="G27" s="2">
        <v>177210</v>
      </c>
      <c r="H27" s="2">
        <v>594251</v>
      </c>
      <c r="I27" s="2">
        <v>106117</v>
      </c>
      <c r="J27" s="2">
        <v>59895</v>
      </c>
      <c r="K27" s="2">
        <v>37308.5</v>
      </c>
      <c r="L27" s="4">
        <v>18200</v>
      </c>
      <c r="M27" s="4">
        <v>26908.5</v>
      </c>
      <c r="N27" s="4">
        <f t="shared" si="0"/>
        <v>587375</v>
      </c>
      <c r="O27" s="4">
        <f t="shared" si="1"/>
        <v>665470</v>
      </c>
      <c r="P27" s="4">
        <f t="shared" si="2"/>
        <v>366008.50000000006</v>
      </c>
      <c r="Q27" s="12">
        <f t="shared" si="3"/>
        <v>91.553030303030297</v>
      </c>
      <c r="R27" s="31">
        <f t="shared" si="3"/>
        <v>35.075757575757578</v>
      </c>
    </row>
    <row r="28" spans="1:19" x14ac:dyDescent="0.25">
      <c r="A28" s="7">
        <v>26</v>
      </c>
      <c r="B28" s="5">
        <v>45834</v>
      </c>
      <c r="C28" s="2" t="s">
        <v>21</v>
      </c>
      <c r="D28" s="2">
        <v>441200</v>
      </c>
      <c r="E28" s="2">
        <v>384200</v>
      </c>
      <c r="F28" s="2">
        <v>32280</v>
      </c>
      <c r="G28" s="2">
        <v>18085</v>
      </c>
      <c r="H28" s="2">
        <v>564950.82999999996</v>
      </c>
      <c r="I28" s="2">
        <v>86383.4</v>
      </c>
      <c r="J28" s="2">
        <v>56388</v>
      </c>
      <c r="K28" s="2">
        <v>36241.699999999997</v>
      </c>
      <c r="L28" s="4">
        <v>30100</v>
      </c>
      <c r="M28" s="4">
        <v>37141.07</v>
      </c>
      <c r="N28" s="4">
        <f t="shared" si="0"/>
        <v>706632</v>
      </c>
      <c r="O28" s="4">
        <f t="shared" si="1"/>
        <v>793120</v>
      </c>
      <c r="P28" s="4">
        <f t="shared" si="2"/>
        <v>436216.00000000006</v>
      </c>
      <c r="Q28" s="12">
        <f t="shared" si="3"/>
        <v>83.560606060606062</v>
      </c>
      <c r="R28" s="31">
        <f t="shared" si="3"/>
        <v>72.765151515151516</v>
      </c>
    </row>
    <row r="29" spans="1:19" x14ac:dyDescent="0.25">
      <c r="A29" s="7">
        <v>27</v>
      </c>
      <c r="B29" s="5">
        <v>45835</v>
      </c>
      <c r="C29" s="2" t="s">
        <v>21</v>
      </c>
      <c r="D29" s="2">
        <v>479900</v>
      </c>
      <c r="E29" s="2">
        <v>390700</v>
      </c>
      <c r="F29" s="2">
        <v>43585</v>
      </c>
      <c r="G29" s="2">
        <v>15860</v>
      </c>
      <c r="H29" s="2">
        <v>593294.80000000005</v>
      </c>
      <c r="I29" s="2">
        <v>90831.6</v>
      </c>
      <c r="J29" s="2">
        <v>57517</v>
      </c>
      <c r="K29" s="2">
        <v>36015.800000000003</v>
      </c>
      <c r="L29" s="4">
        <v>30100</v>
      </c>
      <c r="M29" s="4">
        <v>35115.800000000003</v>
      </c>
      <c r="N29" s="4">
        <f t="shared" si="0"/>
        <v>739398</v>
      </c>
      <c r="O29" s="4">
        <f t="shared" si="1"/>
        <v>827015</v>
      </c>
      <c r="P29" s="4">
        <f t="shared" si="2"/>
        <v>454858.25000000006</v>
      </c>
      <c r="Q29" s="12">
        <f t="shared" si="3"/>
        <v>90.890151515151516</v>
      </c>
      <c r="R29" s="31">
        <f t="shared" si="3"/>
        <v>73.996212121212125</v>
      </c>
    </row>
    <row r="30" spans="1:19" s="19" customFormat="1" x14ac:dyDescent="0.25">
      <c r="A30" s="7">
        <v>28</v>
      </c>
      <c r="B30" s="5">
        <v>45836</v>
      </c>
      <c r="C30" s="33" t="s">
        <v>21</v>
      </c>
      <c r="D30" s="33">
        <v>469000</v>
      </c>
      <c r="E30" s="33">
        <v>419600</v>
      </c>
      <c r="F30" s="33">
        <v>28080</v>
      </c>
      <c r="G30" s="33">
        <v>22990</v>
      </c>
      <c r="H30" s="33">
        <v>613505</v>
      </c>
      <c r="I30" s="33">
        <v>108235</v>
      </c>
      <c r="J30" s="33">
        <v>58835</v>
      </c>
      <c r="K30" s="33">
        <v>35267.5</v>
      </c>
      <c r="L30" s="35">
        <v>30700</v>
      </c>
      <c r="M30" s="36">
        <v>36967.5</v>
      </c>
      <c r="N30" s="36">
        <f t="shared" si="0"/>
        <v>770985</v>
      </c>
      <c r="O30" s="36">
        <f t="shared" si="1"/>
        <v>860520</v>
      </c>
      <c r="P30" s="36">
        <f t="shared" si="2"/>
        <v>473286.00000000006</v>
      </c>
      <c r="Q30" s="37">
        <f t="shared" si="3"/>
        <v>88.825757575757578</v>
      </c>
      <c r="R30" s="38">
        <f t="shared" si="3"/>
        <v>79.469696969696969</v>
      </c>
      <c r="S30"/>
    </row>
    <row r="31" spans="1:19" x14ac:dyDescent="0.25">
      <c r="A31" s="7">
        <v>29</v>
      </c>
      <c r="B31" s="5">
        <v>45837</v>
      </c>
      <c r="C31" s="2" t="s">
        <v>21</v>
      </c>
      <c r="D31" s="2">
        <v>479300</v>
      </c>
      <c r="E31" s="2">
        <v>400600</v>
      </c>
      <c r="F31" s="2">
        <v>26605</v>
      </c>
      <c r="G31" s="2">
        <v>16910</v>
      </c>
      <c r="H31" s="2">
        <v>607169.19999999995</v>
      </c>
      <c r="I31" s="2">
        <v>103356.4</v>
      </c>
      <c r="J31" s="2">
        <v>58523</v>
      </c>
      <c r="K31" s="2">
        <v>35528.199999999997</v>
      </c>
      <c r="L31" s="4">
        <v>29600</v>
      </c>
      <c r="M31" s="4">
        <v>36028.199999999997</v>
      </c>
      <c r="N31" s="4">
        <f t="shared" si="0"/>
        <v>765172</v>
      </c>
      <c r="O31" s="4">
        <f t="shared" si="1"/>
        <v>853295</v>
      </c>
      <c r="P31" s="4">
        <f>O31*0.55</f>
        <v>469312.25000000006</v>
      </c>
      <c r="Q31" s="12">
        <f>(D31/528000)*100</f>
        <v>90.776515151515142</v>
      </c>
      <c r="R31" s="31">
        <f t="shared" ref="R31:R32" si="4">(E31/528000)*100</f>
        <v>75.87121212121211</v>
      </c>
    </row>
    <row r="32" spans="1:19" x14ac:dyDescent="0.25">
      <c r="A32" s="7">
        <v>30</v>
      </c>
      <c r="B32" s="5">
        <v>45838</v>
      </c>
      <c r="C32" s="2" t="s">
        <v>21</v>
      </c>
      <c r="D32" s="2">
        <v>474100</v>
      </c>
      <c r="E32" s="2">
        <v>401900</v>
      </c>
      <c r="F32" s="2">
        <v>42590</v>
      </c>
      <c r="G32" s="2">
        <v>10240</v>
      </c>
      <c r="H32" s="2">
        <v>588231.80000000005</v>
      </c>
      <c r="I32" s="2">
        <v>94010.6</v>
      </c>
      <c r="J32" s="2">
        <v>58697</v>
      </c>
      <c r="K32" s="2">
        <v>36205.300000000003</v>
      </c>
      <c r="L32" s="4">
        <v>30900</v>
      </c>
      <c r="M32" s="4">
        <v>35605.300000000003</v>
      </c>
      <c r="N32" s="4">
        <f t="shared" si="0"/>
        <v>743813</v>
      </c>
      <c r="O32" s="4">
        <f t="shared" si="1"/>
        <v>833410</v>
      </c>
      <c r="P32" s="4">
        <f>O32*0.55</f>
        <v>458375.50000000006</v>
      </c>
      <c r="Q32" s="12">
        <f>(D32/528000)*100</f>
        <v>89.791666666666671</v>
      </c>
      <c r="R32" s="31">
        <f t="shared" si="4"/>
        <v>76.117424242424249</v>
      </c>
    </row>
    <row r="33" spans="1:18" x14ac:dyDescent="0.25">
      <c r="A33" s="2"/>
      <c r="B33" s="2"/>
      <c r="C33" s="8" t="s">
        <v>15</v>
      </c>
      <c r="D33" s="8">
        <f t="shared" ref="D33:P33" si="5">SUM(D3:D32)</f>
        <v>13366300</v>
      </c>
      <c r="E33" s="8">
        <f t="shared" si="5"/>
        <v>11133700</v>
      </c>
      <c r="F33" s="8">
        <f t="shared" si="5"/>
        <v>1357694.9</v>
      </c>
      <c r="G33" s="8">
        <f t="shared" si="5"/>
        <v>1547910</v>
      </c>
      <c r="H33" s="8">
        <f t="shared" si="5"/>
        <v>17347815.629999999</v>
      </c>
      <c r="I33" s="23">
        <f t="shared" si="5"/>
        <v>2721505.1999999997</v>
      </c>
      <c r="J33" s="8">
        <f t="shared" si="5"/>
        <v>1719591</v>
      </c>
      <c r="K33" s="8">
        <f t="shared" si="5"/>
        <v>1008301.3999999999</v>
      </c>
      <c r="L33" s="8">
        <f t="shared" si="5"/>
        <v>834500</v>
      </c>
      <c r="M33" s="8">
        <f t="shared" si="5"/>
        <v>1058501.8699999999</v>
      </c>
      <c r="N33" s="8">
        <f t="shared" si="5"/>
        <v>20588214.100000001</v>
      </c>
      <c r="O33" s="8">
        <f t="shared" si="5"/>
        <v>23142305.100000001</v>
      </c>
      <c r="P33" s="8">
        <f t="shared" si="5"/>
        <v>12728267.805000002</v>
      </c>
      <c r="Q33" s="13">
        <f>SUM(Q3:Q32)/30</f>
        <v>84.383207070707059</v>
      </c>
      <c r="R33" s="13">
        <f>SUM(R3:R32)/30</f>
        <v>70.288510101010104</v>
      </c>
    </row>
    <row r="34" spans="1:18" x14ac:dyDescent="0.25">
      <c r="A34" s="2"/>
      <c r="B34" s="2"/>
      <c r="C34" s="8" t="s">
        <v>16</v>
      </c>
      <c r="D34" s="2">
        <v>13366300</v>
      </c>
      <c r="E34" s="2">
        <v>11133700</v>
      </c>
      <c r="F34" s="2">
        <v>1377113</v>
      </c>
      <c r="G34" s="2">
        <v>1555680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x14ac:dyDescent="0.25">
      <c r="A35" s="2"/>
      <c r="B35" s="2"/>
      <c r="C35" s="8" t="s">
        <v>17</v>
      </c>
      <c r="D35" s="2">
        <f>D33-D34</f>
        <v>0</v>
      </c>
      <c r="E35" s="2"/>
      <c r="F35" s="2"/>
      <c r="G35" s="2"/>
      <c r="H35" s="63">
        <v>-11648.1</v>
      </c>
      <c r="I35" s="64"/>
      <c r="J35" s="64"/>
      <c r="K35" s="64"/>
      <c r="L35" s="64"/>
      <c r="M35" s="65"/>
      <c r="N35" s="2"/>
      <c r="O35" s="2"/>
      <c r="P35" s="2"/>
      <c r="Q35" s="2"/>
      <c r="R35" s="2"/>
    </row>
    <row r="36" spans="1:18" x14ac:dyDescent="0.25">
      <c r="A36" s="2"/>
      <c r="B36" s="2"/>
      <c r="C36" s="8" t="s">
        <v>18</v>
      </c>
      <c r="D36" s="2"/>
      <c r="E36" s="2"/>
      <c r="F36" s="2"/>
      <c r="G36" s="2"/>
      <c r="H36" s="39">
        <v>17341992</v>
      </c>
      <c r="I36" s="39">
        <v>2719175.6</v>
      </c>
      <c r="J36" s="39"/>
      <c r="K36" s="39">
        <v>1006554</v>
      </c>
      <c r="L36" s="39"/>
      <c r="M36" s="39">
        <v>1056755</v>
      </c>
      <c r="N36" s="2"/>
      <c r="O36" s="2"/>
      <c r="P36" s="2"/>
      <c r="Q36" s="2"/>
      <c r="R36" s="2"/>
    </row>
    <row r="37" spans="1:18" x14ac:dyDescent="0.25">
      <c r="A37" s="2"/>
      <c r="B37" s="2"/>
      <c r="C37" s="8" t="s">
        <v>19</v>
      </c>
      <c r="D37" s="2">
        <v>652537.5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 x14ac:dyDescent="0.25">
      <c r="A38" s="2"/>
      <c r="B38" s="2"/>
      <c r="C38" s="8" t="s">
        <v>20</v>
      </c>
      <c r="D38" s="2">
        <v>665903.80000000005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 x14ac:dyDescent="0.25">
      <c r="A39" s="1"/>
      <c r="B39" s="1"/>
      <c r="C39" s="1"/>
      <c r="D39" s="1">
        <f>D38-D37</f>
        <v>13366.300000000047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x14ac:dyDescent="0.25">
      <c r="A41" s="1"/>
      <c r="B41" s="1"/>
      <c r="C41" s="1"/>
      <c r="D41" s="1"/>
      <c r="E41" s="1"/>
      <c r="F41" s="1"/>
      <c r="G41" s="1"/>
      <c r="H41" s="1"/>
      <c r="I41" s="24"/>
      <c r="J41" s="1"/>
      <c r="K41" s="1"/>
      <c r="L41" s="1"/>
      <c r="M41" s="1"/>
      <c r="N41" s="1"/>
      <c r="O41" s="1"/>
      <c r="P41" s="1"/>
      <c r="Q41" s="1"/>
      <c r="R41" s="1"/>
    </row>
    <row r="42" spans="1:18" x14ac:dyDescent="0.25">
      <c r="A42" s="1"/>
      <c r="B42" s="1"/>
      <c r="C42" s="1"/>
      <c r="D42" s="1"/>
      <c r="E42" s="1"/>
      <c r="F42" s="1"/>
      <c r="G42" s="24"/>
      <c r="H42" s="1"/>
      <c r="I42" s="20"/>
      <c r="J42" s="1"/>
      <c r="K42" s="1"/>
      <c r="L42" s="1"/>
      <c r="M42" s="1"/>
      <c r="N42" s="1"/>
      <c r="O42" s="1"/>
      <c r="P42" s="1"/>
      <c r="Q42" s="1"/>
      <c r="R42" s="1"/>
    </row>
    <row r="43" spans="1:18" x14ac:dyDescent="0.25">
      <c r="A43" s="1"/>
      <c r="B43" s="1"/>
      <c r="C43" s="1"/>
      <c r="D43" s="1"/>
      <c r="E43" s="1"/>
      <c r="F43" s="1"/>
      <c r="G43" s="1"/>
      <c r="H43" s="1"/>
      <c r="I43" s="32"/>
      <c r="J43" s="1"/>
      <c r="K43" s="1"/>
      <c r="L43" s="1"/>
      <c r="M43" s="1"/>
      <c r="N43" s="1"/>
      <c r="O43" s="1"/>
      <c r="P43" s="1"/>
      <c r="Q43" s="1"/>
      <c r="R43" s="1"/>
    </row>
    <row r="44" spans="1:18" x14ac:dyDescent="0.25">
      <c r="A44" s="1"/>
      <c r="B44" s="1"/>
      <c r="C44" s="1"/>
      <c r="D44" s="1"/>
      <c r="E44" s="1"/>
      <c r="F44" s="24"/>
      <c r="G44" s="1"/>
      <c r="H44" s="24"/>
      <c r="I44" s="32"/>
      <c r="J44" s="1"/>
      <c r="K44" s="1"/>
      <c r="L44" s="1"/>
      <c r="M44" s="1"/>
      <c r="N44" s="1"/>
      <c r="O44" s="1"/>
      <c r="P44" s="1"/>
      <c r="Q44" s="1"/>
      <c r="R44" s="1"/>
    </row>
    <row r="45" spans="1:18" x14ac:dyDescent="0.25">
      <c r="A45" s="1"/>
      <c r="B45" s="1"/>
      <c r="C45" s="1"/>
      <c r="D45" s="1"/>
      <c r="E45" s="1"/>
      <c r="F45" s="1"/>
      <c r="G45" s="1"/>
      <c r="H45" s="1"/>
      <c r="I45" s="32"/>
      <c r="J45" s="1"/>
      <c r="K45" s="1"/>
      <c r="L45" s="1"/>
      <c r="M45" s="1"/>
      <c r="N45" s="1"/>
      <c r="O45" s="1"/>
      <c r="P45" s="1"/>
      <c r="Q45" s="1"/>
      <c r="R45" s="1"/>
    </row>
    <row r="46" spans="1:18" x14ac:dyDescent="0.25">
      <c r="A46" s="1"/>
      <c r="B46" s="1"/>
      <c r="C46" s="1"/>
      <c r="D46" s="1"/>
      <c r="E46" s="1"/>
      <c r="F46" s="24"/>
      <c r="G46" s="1"/>
      <c r="H46" s="1"/>
      <c r="I46" s="32"/>
      <c r="J46" s="1"/>
      <c r="K46" s="1"/>
      <c r="L46" s="1"/>
      <c r="M46" s="1"/>
      <c r="N46" s="1"/>
      <c r="O46" s="1"/>
      <c r="P46" s="1"/>
      <c r="Q46" s="1"/>
      <c r="R46" s="1"/>
    </row>
    <row r="47" spans="1:18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</sheetData>
  <mergeCells count="2">
    <mergeCell ref="A1:R1"/>
    <mergeCell ref="H35:M35"/>
  </mergeCells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49"/>
  <sheetViews>
    <sheetView topLeftCell="B7" zoomScaleNormal="100" workbookViewId="0">
      <selection activeCell="M37" sqref="M37"/>
    </sheetView>
  </sheetViews>
  <sheetFormatPr defaultRowHeight="15" x14ac:dyDescent="0.25"/>
  <cols>
    <col min="1" max="1" width="5.5703125" bestFit="1" customWidth="1"/>
    <col min="2" max="2" width="10.140625" customWidth="1"/>
    <col min="3" max="3" width="18" customWidth="1"/>
    <col min="4" max="5" width="10.42578125" customWidth="1"/>
    <col min="6" max="6" width="8.85546875" customWidth="1"/>
    <col min="7" max="7" width="11.42578125" customWidth="1"/>
    <col min="8" max="8" width="12.7109375" customWidth="1"/>
    <col min="9" max="9" width="13.140625" customWidth="1"/>
    <col min="10" max="11" width="9.85546875" customWidth="1"/>
    <col min="12" max="12" width="11.140625" customWidth="1"/>
    <col min="13" max="13" width="9.7109375" customWidth="1"/>
    <col min="14" max="14" width="8.7109375" customWidth="1"/>
    <col min="15" max="15" width="13" customWidth="1"/>
    <col min="16" max="16" width="11.5703125" bestFit="1" customWidth="1"/>
    <col min="17" max="17" width="7.42578125" customWidth="1"/>
    <col min="18" max="18" width="9" customWidth="1"/>
  </cols>
  <sheetData>
    <row r="1" spans="1:18" ht="40.5" customHeight="1" thickBot="1" x14ac:dyDescent="0.3">
      <c r="A1" s="66" t="s">
        <v>90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</row>
    <row r="2" spans="1:18" ht="51.75" customHeight="1" thickBot="1" x14ac:dyDescent="0.3">
      <c r="A2" s="9" t="s">
        <v>0</v>
      </c>
      <c r="B2" s="10" t="s">
        <v>1</v>
      </c>
      <c r="C2" s="10" t="s">
        <v>2</v>
      </c>
      <c r="D2" s="21" t="s">
        <v>56</v>
      </c>
      <c r="E2" s="21" t="s">
        <v>57</v>
      </c>
      <c r="F2" s="21" t="s">
        <v>4</v>
      </c>
      <c r="G2" s="21" t="s">
        <v>5</v>
      </c>
      <c r="H2" s="21" t="s">
        <v>6</v>
      </c>
      <c r="I2" s="21" t="s">
        <v>7</v>
      </c>
      <c r="J2" s="21" t="s">
        <v>64</v>
      </c>
      <c r="K2" s="21" t="s">
        <v>66</v>
      </c>
      <c r="L2" s="21" t="s">
        <v>65</v>
      </c>
      <c r="M2" s="21" t="s">
        <v>67</v>
      </c>
      <c r="N2" s="21" t="s">
        <v>10</v>
      </c>
      <c r="O2" s="21" t="s">
        <v>11</v>
      </c>
      <c r="P2" s="10" t="s">
        <v>12</v>
      </c>
      <c r="Q2" s="29" t="s">
        <v>54</v>
      </c>
      <c r="R2" s="30" t="s">
        <v>55</v>
      </c>
    </row>
    <row r="3" spans="1:18" x14ac:dyDescent="0.25">
      <c r="A3" s="6">
        <v>1</v>
      </c>
      <c r="B3" s="5" t="s">
        <v>71</v>
      </c>
      <c r="C3" s="4" t="s">
        <v>21</v>
      </c>
      <c r="D3" s="4">
        <v>470000</v>
      </c>
      <c r="E3" s="4">
        <v>375100</v>
      </c>
      <c r="F3" s="4">
        <v>28765</v>
      </c>
      <c r="G3" s="4">
        <v>16540</v>
      </c>
      <c r="H3" s="4">
        <v>599658.4</v>
      </c>
      <c r="I3" s="4">
        <v>80852.800000000003</v>
      </c>
      <c r="J3" s="4">
        <v>56211</v>
      </c>
      <c r="K3" s="4">
        <v>31676.400000000001</v>
      </c>
      <c r="L3" s="4">
        <v>27600</v>
      </c>
      <c r="M3" s="4">
        <v>36876.400000000001</v>
      </c>
      <c r="N3" s="4">
        <f>(D3+E3)-F3-J3-L3</f>
        <v>732524</v>
      </c>
      <c r="O3" s="4">
        <f>(D3+E3)-F3</f>
        <v>816335</v>
      </c>
      <c r="P3" s="4">
        <f>O3*0.55</f>
        <v>448984.25000000006</v>
      </c>
      <c r="Q3" s="12">
        <f>(D3/528000)*100</f>
        <v>89.015151515151516</v>
      </c>
      <c r="R3" s="31">
        <f>(E3/528000)*100</f>
        <v>71.041666666666671</v>
      </c>
    </row>
    <row r="4" spans="1:18" x14ac:dyDescent="0.25">
      <c r="A4" s="7">
        <v>2</v>
      </c>
      <c r="B4" s="5" t="s">
        <v>68</v>
      </c>
      <c r="C4" s="2" t="s">
        <v>21</v>
      </c>
      <c r="D4" s="2">
        <v>468900</v>
      </c>
      <c r="E4" s="2">
        <v>360100</v>
      </c>
      <c r="F4" s="2">
        <v>23965</v>
      </c>
      <c r="G4" s="2">
        <v>27030</v>
      </c>
      <c r="H4" s="2">
        <v>605266.6</v>
      </c>
      <c r="I4" s="2">
        <v>72922.2</v>
      </c>
      <c r="J4" s="2">
        <v>57854</v>
      </c>
      <c r="K4" s="2">
        <v>31611.1</v>
      </c>
      <c r="L4" s="4">
        <v>27500</v>
      </c>
      <c r="M4" s="4">
        <v>36911.1</v>
      </c>
      <c r="N4" s="4">
        <f t="shared" ref="N4:N33" si="0">(D4+E4)-F4-J4-L4</f>
        <v>719681</v>
      </c>
      <c r="O4" s="4">
        <f t="shared" ref="O4:O33" si="1">(D4+E4)-F4</f>
        <v>805035</v>
      </c>
      <c r="P4" s="4">
        <f t="shared" ref="P4:P30" si="2">O4*0.55</f>
        <v>442769.25000000006</v>
      </c>
      <c r="Q4" s="12">
        <f>(D4/528000)*100</f>
        <v>88.806818181818187</v>
      </c>
      <c r="R4" s="31">
        <f>(E4/528000)*100</f>
        <v>68.200757575757578</v>
      </c>
    </row>
    <row r="5" spans="1:18" x14ac:dyDescent="0.25">
      <c r="A5" s="7">
        <v>3</v>
      </c>
      <c r="B5" s="5" t="s">
        <v>69</v>
      </c>
      <c r="C5" s="2" t="s">
        <v>21</v>
      </c>
      <c r="D5" s="2">
        <v>466300</v>
      </c>
      <c r="E5" s="2">
        <v>392000</v>
      </c>
      <c r="F5" s="2">
        <v>31145</v>
      </c>
      <c r="G5" s="2">
        <v>21020</v>
      </c>
      <c r="H5" s="2">
        <v>612690.80000000005</v>
      </c>
      <c r="I5" s="2">
        <v>79563.600000000006</v>
      </c>
      <c r="J5" s="2">
        <v>57157</v>
      </c>
      <c r="K5" s="2">
        <v>31981.8</v>
      </c>
      <c r="L5" s="4">
        <v>28400</v>
      </c>
      <c r="M5" s="4">
        <v>38381.800000000003</v>
      </c>
      <c r="N5" s="4">
        <f t="shared" si="0"/>
        <v>741598</v>
      </c>
      <c r="O5" s="4">
        <f t="shared" si="1"/>
        <v>827155</v>
      </c>
      <c r="P5" s="4">
        <f t="shared" si="2"/>
        <v>454935.25000000006</v>
      </c>
      <c r="Q5" s="12">
        <f t="shared" ref="Q5:R30" si="3">(D5/528000)*100</f>
        <v>88.314393939393938</v>
      </c>
      <c r="R5" s="31">
        <f t="shared" si="3"/>
        <v>74.242424242424249</v>
      </c>
    </row>
    <row r="6" spans="1:18" x14ac:dyDescent="0.25">
      <c r="A6" s="7">
        <v>4</v>
      </c>
      <c r="B6" s="5" t="s">
        <v>70</v>
      </c>
      <c r="C6" s="2" t="s">
        <v>21</v>
      </c>
      <c r="D6" s="2">
        <v>484700</v>
      </c>
      <c r="E6" s="2">
        <v>380400</v>
      </c>
      <c r="F6" s="2">
        <v>30820</v>
      </c>
      <c r="G6" s="2">
        <v>22945</v>
      </c>
      <c r="H6" s="2">
        <v>606022.40000000002</v>
      </c>
      <c r="I6" s="2">
        <v>93040.8</v>
      </c>
      <c r="J6" s="2">
        <v>58221</v>
      </c>
      <c r="K6" s="2">
        <v>32420.400000000001</v>
      </c>
      <c r="L6" s="4">
        <v>29000</v>
      </c>
      <c r="M6" s="4">
        <v>38520.400000000001</v>
      </c>
      <c r="N6" s="4">
        <f t="shared" si="0"/>
        <v>747059</v>
      </c>
      <c r="O6" s="4">
        <f t="shared" si="1"/>
        <v>834280</v>
      </c>
      <c r="P6" s="4">
        <f t="shared" si="2"/>
        <v>458854.00000000006</v>
      </c>
      <c r="Q6" s="12">
        <f t="shared" si="3"/>
        <v>91.799242424242422</v>
      </c>
      <c r="R6" s="31">
        <f t="shared" si="3"/>
        <v>72.045454545454547</v>
      </c>
    </row>
    <row r="7" spans="1:18" x14ac:dyDescent="0.25">
      <c r="A7" s="7">
        <v>5</v>
      </c>
      <c r="B7" s="5" t="s">
        <v>58</v>
      </c>
      <c r="C7" s="2" t="s">
        <v>21</v>
      </c>
      <c r="D7" s="2">
        <v>462200</v>
      </c>
      <c r="E7" s="2">
        <v>376100</v>
      </c>
      <c r="F7" s="2">
        <v>67185</v>
      </c>
      <c r="G7" s="2">
        <v>14130</v>
      </c>
      <c r="H7" s="2">
        <v>547327</v>
      </c>
      <c r="I7" s="2">
        <v>80809</v>
      </c>
      <c r="J7" s="2">
        <v>55300</v>
      </c>
      <c r="K7" s="2">
        <v>32654.5</v>
      </c>
      <c r="L7" s="4">
        <v>30200</v>
      </c>
      <c r="M7" s="4">
        <v>38954.5</v>
      </c>
      <c r="N7" s="4">
        <f t="shared" si="0"/>
        <v>685615</v>
      </c>
      <c r="O7" s="4">
        <f t="shared" si="1"/>
        <v>771115</v>
      </c>
      <c r="P7" s="4">
        <f t="shared" si="2"/>
        <v>424113.25000000006</v>
      </c>
      <c r="Q7" s="12">
        <f t="shared" si="3"/>
        <v>87.537878787878782</v>
      </c>
      <c r="R7" s="31">
        <f t="shared" si="3"/>
        <v>71.231060606060609</v>
      </c>
    </row>
    <row r="8" spans="1:18" x14ac:dyDescent="0.25">
      <c r="A8" s="7">
        <v>6</v>
      </c>
      <c r="B8" s="5" t="s">
        <v>72</v>
      </c>
      <c r="C8" s="2" t="s">
        <v>21</v>
      </c>
      <c r="D8" s="2">
        <v>477500</v>
      </c>
      <c r="E8" s="2">
        <v>406800</v>
      </c>
      <c r="F8" s="2">
        <v>56780</v>
      </c>
      <c r="G8" s="2">
        <v>13515</v>
      </c>
      <c r="H8" s="2">
        <v>603629.19999999995</v>
      </c>
      <c r="I8" s="2">
        <v>78476.399999999994</v>
      </c>
      <c r="J8" s="2">
        <v>58053</v>
      </c>
      <c r="K8" s="2">
        <v>32188.2</v>
      </c>
      <c r="L8" s="4">
        <v>29800</v>
      </c>
      <c r="M8" s="4">
        <v>38888.199999999997</v>
      </c>
      <c r="N8" s="4">
        <f t="shared" si="0"/>
        <v>739667</v>
      </c>
      <c r="O8" s="4">
        <f t="shared" si="1"/>
        <v>827520</v>
      </c>
      <c r="P8" s="4">
        <f t="shared" si="2"/>
        <v>455136.00000000006</v>
      </c>
      <c r="Q8" s="12">
        <f t="shared" si="3"/>
        <v>90.435606060606062</v>
      </c>
      <c r="R8" s="31">
        <f t="shared" si="3"/>
        <v>77.045454545454547</v>
      </c>
    </row>
    <row r="9" spans="1:18" x14ac:dyDescent="0.25">
      <c r="A9" s="7">
        <v>7</v>
      </c>
      <c r="B9" s="5" t="s">
        <v>72</v>
      </c>
      <c r="C9" s="2" t="s">
        <v>21</v>
      </c>
      <c r="D9" s="2">
        <v>366900</v>
      </c>
      <c r="E9" s="2">
        <v>375700</v>
      </c>
      <c r="F9" s="2">
        <v>108710</v>
      </c>
      <c r="G9" s="2">
        <v>3975</v>
      </c>
      <c r="H9" s="2">
        <v>458504</v>
      </c>
      <c r="I9" s="2">
        <v>30168</v>
      </c>
      <c r="J9" s="2">
        <v>48925</v>
      </c>
      <c r="K9" s="2">
        <v>32234</v>
      </c>
      <c r="L9" s="4">
        <v>29500</v>
      </c>
      <c r="M9" s="4">
        <v>38534</v>
      </c>
      <c r="N9" s="4">
        <f t="shared" si="0"/>
        <v>555465</v>
      </c>
      <c r="O9" s="4">
        <f t="shared" si="1"/>
        <v>633890</v>
      </c>
      <c r="P9" s="4">
        <f t="shared" si="2"/>
        <v>348639.5</v>
      </c>
      <c r="Q9" s="12">
        <f t="shared" si="3"/>
        <v>69.488636363636374</v>
      </c>
      <c r="R9" s="31">
        <f t="shared" si="3"/>
        <v>71.155303030303031</v>
      </c>
    </row>
    <row r="10" spans="1:18" x14ac:dyDescent="0.25">
      <c r="A10" s="7">
        <v>8</v>
      </c>
      <c r="B10" s="5" t="s">
        <v>73</v>
      </c>
      <c r="C10" s="2" t="s">
        <v>21</v>
      </c>
      <c r="D10" s="2">
        <v>489200</v>
      </c>
      <c r="E10" s="2">
        <v>409300</v>
      </c>
      <c r="F10" s="2">
        <v>48010</v>
      </c>
      <c r="G10" s="2">
        <v>13740</v>
      </c>
      <c r="H10" s="2">
        <v>625411.4</v>
      </c>
      <c r="I10" s="2">
        <v>74203.8</v>
      </c>
      <c r="J10" s="2">
        <v>60111</v>
      </c>
      <c r="K10" s="2">
        <v>33851.9</v>
      </c>
      <c r="L10" s="4">
        <v>31200</v>
      </c>
      <c r="M10" s="4">
        <v>39451.9</v>
      </c>
      <c r="N10" s="4">
        <f t="shared" si="0"/>
        <v>759179</v>
      </c>
      <c r="O10" s="4">
        <f t="shared" si="1"/>
        <v>850490</v>
      </c>
      <c r="P10" s="4">
        <f t="shared" si="2"/>
        <v>467769.50000000006</v>
      </c>
      <c r="Q10" s="12">
        <f t="shared" si="3"/>
        <v>92.651515151515156</v>
      </c>
      <c r="R10" s="31">
        <f t="shared" si="3"/>
        <v>77.518939393939391</v>
      </c>
    </row>
    <row r="11" spans="1:18" x14ac:dyDescent="0.25">
      <c r="A11" s="7">
        <v>9</v>
      </c>
      <c r="B11" s="5" t="s">
        <v>74</v>
      </c>
      <c r="C11" s="2" t="s">
        <v>21</v>
      </c>
      <c r="D11" s="2">
        <v>467500</v>
      </c>
      <c r="E11" s="2">
        <v>409100</v>
      </c>
      <c r="F11" s="2">
        <v>49590</v>
      </c>
      <c r="G11" s="2">
        <v>11335</v>
      </c>
      <c r="H11" s="2">
        <v>601577.6</v>
      </c>
      <c r="I11" s="2">
        <v>75459.199999999997</v>
      </c>
      <c r="J11" s="2">
        <v>59049</v>
      </c>
      <c r="K11" s="2">
        <v>32229.599999999999</v>
      </c>
      <c r="L11" s="4">
        <v>30600</v>
      </c>
      <c r="M11" s="4">
        <v>39429.599999999999</v>
      </c>
      <c r="N11" s="4">
        <f t="shared" si="0"/>
        <v>737361</v>
      </c>
      <c r="O11" s="4">
        <f t="shared" si="1"/>
        <v>827010</v>
      </c>
      <c r="P11" s="4">
        <f t="shared" si="2"/>
        <v>454855.50000000006</v>
      </c>
      <c r="Q11" s="12">
        <f t="shared" si="3"/>
        <v>88.541666666666657</v>
      </c>
      <c r="R11" s="31">
        <f t="shared" si="3"/>
        <v>77.481060606060609</v>
      </c>
    </row>
    <row r="12" spans="1:18" x14ac:dyDescent="0.25">
      <c r="A12" s="7">
        <v>10</v>
      </c>
      <c r="B12" s="5" t="s">
        <v>75</v>
      </c>
      <c r="C12" s="2" t="s">
        <v>21</v>
      </c>
      <c r="D12" s="2">
        <v>463300</v>
      </c>
      <c r="E12" s="2">
        <v>371900</v>
      </c>
      <c r="F12" s="2">
        <v>58620</v>
      </c>
      <c r="G12" s="2">
        <v>7905</v>
      </c>
      <c r="H12" s="2">
        <v>563772.4</v>
      </c>
      <c r="I12" s="2">
        <v>63990.8</v>
      </c>
      <c r="J12" s="2">
        <v>57931</v>
      </c>
      <c r="K12" s="2">
        <v>31795.4</v>
      </c>
      <c r="L12" s="4">
        <v>29000</v>
      </c>
      <c r="M12" s="4">
        <v>37995.4</v>
      </c>
      <c r="N12" s="4">
        <f t="shared" si="0"/>
        <v>689649</v>
      </c>
      <c r="O12" s="4">
        <f t="shared" si="1"/>
        <v>776580</v>
      </c>
      <c r="P12" s="4">
        <f t="shared" si="2"/>
        <v>427119.00000000006</v>
      </c>
      <c r="Q12" s="12">
        <f t="shared" si="3"/>
        <v>87.746212121212125</v>
      </c>
      <c r="R12" s="31">
        <f t="shared" si="3"/>
        <v>70.435606060606062</v>
      </c>
    </row>
    <row r="13" spans="1:18" x14ac:dyDescent="0.25">
      <c r="A13" s="7">
        <v>11</v>
      </c>
      <c r="B13" s="5" t="s">
        <v>76</v>
      </c>
      <c r="C13" s="2" t="s">
        <v>21</v>
      </c>
      <c r="D13" s="2">
        <v>445600</v>
      </c>
      <c r="E13" s="2">
        <v>419900</v>
      </c>
      <c r="F13" s="2">
        <v>67700</v>
      </c>
      <c r="G13" s="2">
        <v>3285</v>
      </c>
      <c r="H13" s="2">
        <v>583326.4</v>
      </c>
      <c r="I13" s="2">
        <v>60008.800000000003</v>
      </c>
      <c r="J13" s="2">
        <v>56441</v>
      </c>
      <c r="K13" s="2">
        <v>31054.400000000001</v>
      </c>
      <c r="L13" s="4">
        <v>30900</v>
      </c>
      <c r="M13" s="4">
        <v>39354.400000000001</v>
      </c>
      <c r="N13" s="4">
        <f t="shared" si="0"/>
        <v>710459</v>
      </c>
      <c r="O13" s="4">
        <f t="shared" si="1"/>
        <v>797800</v>
      </c>
      <c r="P13" s="4">
        <f t="shared" si="2"/>
        <v>438790.00000000006</v>
      </c>
      <c r="Q13" s="12">
        <f t="shared" si="3"/>
        <v>84.393939393939405</v>
      </c>
      <c r="R13" s="31">
        <f t="shared" si="3"/>
        <v>79.526515151515156</v>
      </c>
    </row>
    <row r="14" spans="1:18" x14ac:dyDescent="0.25">
      <c r="A14" s="7">
        <v>12</v>
      </c>
      <c r="B14" s="5" t="s">
        <v>77</v>
      </c>
      <c r="C14" s="2" t="s">
        <v>21</v>
      </c>
      <c r="D14" s="2">
        <v>442600</v>
      </c>
      <c r="E14" s="2">
        <v>435900</v>
      </c>
      <c r="F14" s="2">
        <v>66660</v>
      </c>
      <c r="G14" s="2">
        <v>135</v>
      </c>
      <c r="H14" s="2">
        <v>591058.19999999995</v>
      </c>
      <c r="I14" s="2">
        <v>60119.4</v>
      </c>
      <c r="J14" s="2">
        <v>57878</v>
      </c>
      <c r="K14" s="2">
        <v>31659.7</v>
      </c>
      <c r="L14" s="4">
        <v>31100</v>
      </c>
      <c r="M14" s="4">
        <v>40159.699999999997</v>
      </c>
      <c r="N14" s="4">
        <f t="shared" si="0"/>
        <v>722862</v>
      </c>
      <c r="O14" s="4">
        <f t="shared" si="1"/>
        <v>811840</v>
      </c>
      <c r="P14" s="4">
        <f t="shared" si="2"/>
        <v>446512.00000000006</v>
      </c>
      <c r="Q14" s="12">
        <f t="shared" si="3"/>
        <v>83.825757575757578</v>
      </c>
      <c r="R14" s="31">
        <f t="shared" si="3"/>
        <v>82.556818181818187</v>
      </c>
    </row>
    <row r="15" spans="1:18" x14ac:dyDescent="0.25">
      <c r="A15" s="7">
        <v>13</v>
      </c>
      <c r="B15" s="5" t="s">
        <v>60</v>
      </c>
      <c r="C15" s="2" t="s">
        <v>21</v>
      </c>
      <c r="D15" s="2">
        <v>476400</v>
      </c>
      <c r="E15" s="2">
        <v>432500</v>
      </c>
      <c r="F15" s="2">
        <v>78330</v>
      </c>
      <c r="G15" s="2">
        <v>60</v>
      </c>
      <c r="H15" s="2">
        <v>603780.80000000005</v>
      </c>
      <c r="I15" s="2">
        <v>63693.599999999999</v>
      </c>
      <c r="J15" s="2">
        <v>57962</v>
      </c>
      <c r="K15" s="2">
        <v>34696.800000000003</v>
      </c>
      <c r="L15" s="4">
        <v>30100</v>
      </c>
      <c r="M15" s="4">
        <v>40396.800000000003</v>
      </c>
      <c r="N15" s="4">
        <f t="shared" si="0"/>
        <v>742508</v>
      </c>
      <c r="O15" s="4">
        <f t="shared" si="1"/>
        <v>830570</v>
      </c>
      <c r="P15" s="4">
        <f t="shared" si="2"/>
        <v>456813.50000000006</v>
      </c>
      <c r="Q15" s="12">
        <f t="shared" si="3"/>
        <v>90.22727272727272</v>
      </c>
      <c r="R15" s="31">
        <f t="shared" si="3"/>
        <v>81.912878787878782</v>
      </c>
    </row>
    <row r="16" spans="1:18" x14ac:dyDescent="0.25">
      <c r="A16" s="7">
        <v>14</v>
      </c>
      <c r="B16" s="5" t="s">
        <v>61</v>
      </c>
      <c r="C16" s="2" t="s">
        <v>21</v>
      </c>
      <c r="D16" s="2">
        <v>431200</v>
      </c>
      <c r="E16" s="2">
        <v>427400</v>
      </c>
      <c r="F16" s="2">
        <v>36050</v>
      </c>
      <c r="G16" s="2">
        <v>915</v>
      </c>
      <c r="H16" s="2">
        <v>596708.6</v>
      </c>
      <c r="I16" s="2">
        <v>64236.2</v>
      </c>
      <c r="J16" s="2">
        <v>56584</v>
      </c>
      <c r="K16" s="2">
        <v>34218.1</v>
      </c>
      <c r="L16" s="4">
        <v>31300</v>
      </c>
      <c r="M16" s="4">
        <v>40418.1</v>
      </c>
      <c r="N16" s="4">
        <f t="shared" si="0"/>
        <v>734666</v>
      </c>
      <c r="O16" s="4">
        <f t="shared" si="1"/>
        <v>822550</v>
      </c>
      <c r="P16" s="4">
        <f t="shared" si="2"/>
        <v>452402.50000000006</v>
      </c>
      <c r="Q16" s="12">
        <f t="shared" si="3"/>
        <v>81.666666666666671</v>
      </c>
      <c r="R16" s="31">
        <f t="shared" si="3"/>
        <v>80.946969696969688</v>
      </c>
    </row>
    <row r="17" spans="1:19" x14ac:dyDescent="0.25">
      <c r="A17" s="7">
        <v>15</v>
      </c>
      <c r="B17" s="5" t="s">
        <v>78</v>
      </c>
      <c r="C17" s="2" t="s">
        <v>21</v>
      </c>
      <c r="D17" s="2">
        <v>392300</v>
      </c>
      <c r="E17" s="2">
        <v>415300</v>
      </c>
      <c r="F17" s="2">
        <v>13010</v>
      </c>
      <c r="G17" s="2">
        <v>865</v>
      </c>
      <c r="H17" s="2">
        <v>572514.4</v>
      </c>
      <c r="I17" s="2">
        <v>66304.800000000003</v>
      </c>
      <c r="J17" s="2">
        <v>55231</v>
      </c>
      <c r="K17" s="2">
        <v>32052.400000000001</v>
      </c>
      <c r="L17" s="4">
        <v>30200</v>
      </c>
      <c r="M17" s="4">
        <v>39152.400000000001</v>
      </c>
      <c r="N17" s="4">
        <f t="shared" si="0"/>
        <v>709159</v>
      </c>
      <c r="O17" s="4">
        <f t="shared" si="1"/>
        <v>794590</v>
      </c>
      <c r="P17" s="4">
        <f t="shared" si="2"/>
        <v>437024.50000000006</v>
      </c>
      <c r="Q17" s="12">
        <f t="shared" si="3"/>
        <v>74.299242424242422</v>
      </c>
      <c r="R17" s="31">
        <f t="shared" si="3"/>
        <v>78.655303030303031</v>
      </c>
    </row>
    <row r="18" spans="1:19" x14ac:dyDescent="0.25">
      <c r="A18" s="7">
        <v>16</v>
      </c>
      <c r="B18" s="5" t="s">
        <v>79</v>
      </c>
      <c r="C18" s="2" t="s">
        <v>21</v>
      </c>
      <c r="D18" s="2">
        <v>444200</v>
      </c>
      <c r="E18" s="2">
        <v>410200</v>
      </c>
      <c r="F18" s="2">
        <v>36670</v>
      </c>
      <c r="G18" s="2">
        <v>4740</v>
      </c>
      <c r="H18" s="2">
        <v>583716.19999999995</v>
      </c>
      <c r="I18" s="2">
        <v>78605.399999999994</v>
      </c>
      <c r="J18" s="2">
        <v>60643</v>
      </c>
      <c r="K18" s="2">
        <v>30802.7</v>
      </c>
      <c r="L18" s="4">
        <v>31100</v>
      </c>
      <c r="M18" s="4">
        <v>37602.699999999997</v>
      </c>
      <c r="N18" s="4">
        <f t="shared" si="0"/>
        <v>725987</v>
      </c>
      <c r="O18" s="4">
        <f t="shared" si="1"/>
        <v>817730</v>
      </c>
      <c r="P18" s="4">
        <f t="shared" si="2"/>
        <v>449751.50000000006</v>
      </c>
      <c r="Q18" s="12">
        <f t="shared" si="3"/>
        <v>84.128787878787875</v>
      </c>
      <c r="R18" s="31">
        <f t="shared" si="3"/>
        <v>77.689393939393938</v>
      </c>
    </row>
    <row r="19" spans="1:19" x14ac:dyDescent="0.25">
      <c r="A19" s="7">
        <v>17</v>
      </c>
      <c r="B19" s="5" t="s">
        <v>80</v>
      </c>
      <c r="C19" s="2" t="s">
        <v>21</v>
      </c>
      <c r="D19" s="2">
        <v>481900</v>
      </c>
      <c r="E19" s="2">
        <v>431200</v>
      </c>
      <c r="F19" s="2">
        <v>77835</v>
      </c>
      <c r="G19" s="2">
        <v>815</v>
      </c>
      <c r="H19" s="2">
        <v>594777.59999999998</v>
      </c>
      <c r="I19" s="2">
        <v>80659.199999999997</v>
      </c>
      <c r="J19" s="2">
        <v>60884</v>
      </c>
      <c r="K19" s="2">
        <v>31329.599999999999</v>
      </c>
      <c r="L19" s="4">
        <v>30200</v>
      </c>
      <c r="M19" s="4">
        <v>38229.599999999999</v>
      </c>
      <c r="N19" s="4">
        <f t="shared" si="0"/>
        <v>744181</v>
      </c>
      <c r="O19" s="4">
        <f t="shared" si="1"/>
        <v>835265</v>
      </c>
      <c r="P19" s="4">
        <f t="shared" si="2"/>
        <v>459395.75000000006</v>
      </c>
      <c r="Q19" s="12">
        <f t="shared" si="3"/>
        <v>91.268939393939391</v>
      </c>
      <c r="R19" s="31">
        <f t="shared" si="3"/>
        <v>81.666666666666671</v>
      </c>
    </row>
    <row r="20" spans="1:19" x14ac:dyDescent="0.25">
      <c r="A20" s="7">
        <v>18</v>
      </c>
      <c r="B20" s="5" t="s">
        <v>81</v>
      </c>
      <c r="C20" s="2" t="s">
        <v>21</v>
      </c>
      <c r="D20" s="2">
        <v>447800</v>
      </c>
      <c r="E20" s="2">
        <v>396000</v>
      </c>
      <c r="F20" s="2">
        <v>53890</v>
      </c>
      <c r="G20" s="2">
        <v>1625</v>
      </c>
      <c r="H20" s="2">
        <v>564238.80000000005</v>
      </c>
      <c r="I20" s="2">
        <v>71679.600000000006</v>
      </c>
      <c r="J20" s="2">
        <v>57937</v>
      </c>
      <c r="K20" s="2">
        <v>30639.8</v>
      </c>
      <c r="L20" s="4">
        <v>29200</v>
      </c>
      <c r="M20" s="4">
        <v>37839.800000000003</v>
      </c>
      <c r="N20" s="4">
        <f t="shared" si="0"/>
        <v>702773</v>
      </c>
      <c r="O20" s="4">
        <f t="shared" si="1"/>
        <v>789910</v>
      </c>
      <c r="P20" s="4">
        <f t="shared" si="2"/>
        <v>434450.50000000006</v>
      </c>
      <c r="Q20" s="12">
        <f t="shared" si="3"/>
        <v>84.810606060606062</v>
      </c>
      <c r="R20" s="31">
        <f t="shared" si="3"/>
        <v>75</v>
      </c>
    </row>
    <row r="21" spans="1:19" x14ac:dyDescent="0.25">
      <c r="A21" s="7">
        <v>19</v>
      </c>
      <c r="B21" s="5" t="s">
        <v>82</v>
      </c>
      <c r="C21" s="2" t="s">
        <v>21</v>
      </c>
      <c r="D21" s="2">
        <v>478500</v>
      </c>
      <c r="E21" s="2">
        <v>393100</v>
      </c>
      <c r="F21" s="2">
        <v>45050</v>
      </c>
      <c r="G21" s="2">
        <v>1430</v>
      </c>
      <c r="H21" s="2">
        <v>577686</v>
      </c>
      <c r="I21" s="2">
        <v>91262</v>
      </c>
      <c r="J21" s="2">
        <v>60570</v>
      </c>
      <c r="K21" s="2">
        <v>31381</v>
      </c>
      <c r="L21" s="4">
        <v>30200</v>
      </c>
      <c r="M21" s="4">
        <v>36881</v>
      </c>
      <c r="N21" s="4">
        <f t="shared" si="0"/>
        <v>735780</v>
      </c>
      <c r="O21" s="4">
        <f t="shared" si="1"/>
        <v>826550</v>
      </c>
      <c r="P21" s="4">
        <f t="shared" si="2"/>
        <v>454602.50000000006</v>
      </c>
      <c r="Q21" s="12">
        <f t="shared" si="3"/>
        <v>90.625</v>
      </c>
      <c r="R21" s="31">
        <f t="shared" si="3"/>
        <v>74.450757575757578</v>
      </c>
    </row>
    <row r="22" spans="1:19" x14ac:dyDescent="0.25">
      <c r="A22" s="7">
        <v>20</v>
      </c>
      <c r="B22" s="5" t="s">
        <v>83</v>
      </c>
      <c r="C22" s="2" t="s">
        <v>21</v>
      </c>
      <c r="D22" s="2">
        <v>499500</v>
      </c>
      <c r="E22" s="2">
        <v>397800</v>
      </c>
      <c r="F22" s="2">
        <v>50220</v>
      </c>
      <c r="G22" s="2">
        <v>289</v>
      </c>
      <c r="H22" s="2">
        <v>589980.6</v>
      </c>
      <c r="I22" s="2">
        <v>92660.2</v>
      </c>
      <c r="J22" s="2">
        <v>60959</v>
      </c>
      <c r="K22" s="2">
        <v>35130.1</v>
      </c>
      <c r="L22" s="4">
        <v>31200</v>
      </c>
      <c r="M22" s="4">
        <v>37430.1</v>
      </c>
      <c r="N22" s="4">
        <f t="shared" si="0"/>
        <v>754921</v>
      </c>
      <c r="O22" s="4">
        <f t="shared" si="1"/>
        <v>847080</v>
      </c>
      <c r="P22" s="4">
        <f t="shared" si="2"/>
        <v>465894.00000000006</v>
      </c>
      <c r="Q22" s="12">
        <f t="shared" si="3"/>
        <v>94.602272727272734</v>
      </c>
      <c r="R22" s="31">
        <f t="shared" si="3"/>
        <v>75.340909090909093</v>
      </c>
    </row>
    <row r="23" spans="1:19" x14ac:dyDescent="0.25">
      <c r="A23" s="7">
        <v>21</v>
      </c>
      <c r="B23" s="5" t="s">
        <v>84</v>
      </c>
      <c r="C23" s="2" t="s">
        <v>21</v>
      </c>
      <c r="D23" s="2">
        <v>503300</v>
      </c>
      <c r="E23" s="2">
        <v>399200</v>
      </c>
      <c r="F23" s="2">
        <v>56695</v>
      </c>
      <c r="G23" s="2">
        <v>410</v>
      </c>
      <c r="H23" s="2">
        <v>594492.19999999995</v>
      </c>
      <c r="I23" s="2">
        <v>88597.4</v>
      </c>
      <c r="J23" s="2">
        <v>60228</v>
      </c>
      <c r="K23" s="2">
        <v>35048.699999999997</v>
      </c>
      <c r="L23" s="4">
        <v>29900</v>
      </c>
      <c r="M23" s="4">
        <v>37948.699999999997</v>
      </c>
      <c r="N23" s="4">
        <f t="shared" si="0"/>
        <v>755677</v>
      </c>
      <c r="O23" s="4">
        <f t="shared" si="1"/>
        <v>845805</v>
      </c>
      <c r="P23" s="4">
        <f t="shared" si="2"/>
        <v>465192.75000000006</v>
      </c>
      <c r="Q23" s="12">
        <f t="shared" si="3"/>
        <v>95.321969696969703</v>
      </c>
      <c r="R23" s="31">
        <f t="shared" si="3"/>
        <v>75.606060606060609</v>
      </c>
    </row>
    <row r="24" spans="1:19" x14ac:dyDescent="0.25">
      <c r="A24" s="7">
        <v>22</v>
      </c>
      <c r="B24" s="5" t="s">
        <v>85</v>
      </c>
      <c r="C24" s="2" t="s">
        <v>21</v>
      </c>
      <c r="D24" s="2">
        <v>517300</v>
      </c>
      <c r="E24" s="2">
        <v>412300</v>
      </c>
      <c r="F24" s="2">
        <v>72260</v>
      </c>
      <c r="G24" s="2">
        <v>165</v>
      </c>
      <c r="H24" s="2">
        <v>585858</v>
      </c>
      <c r="I24" s="2">
        <v>107586</v>
      </c>
      <c r="J24" s="2">
        <v>61175</v>
      </c>
      <c r="K24" s="2">
        <v>34793</v>
      </c>
      <c r="L24" s="4">
        <v>29400</v>
      </c>
      <c r="M24" s="4">
        <v>38693</v>
      </c>
      <c r="N24" s="4">
        <f t="shared" si="0"/>
        <v>766765</v>
      </c>
      <c r="O24" s="4">
        <f t="shared" si="1"/>
        <v>857340</v>
      </c>
      <c r="P24" s="4">
        <f t="shared" si="2"/>
        <v>471537.00000000006</v>
      </c>
      <c r="Q24" s="12">
        <f t="shared" si="3"/>
        <v>97.973484848484844</v>
      </c>
      <c r="R24" s="31">
        <f t="shared" si="3"/>
        <v>78.087121212121218</v>
      </c>
    </row>
    <row r="25" spans="1:19" x14ac:dyDescent="0.25">
      <c r="A25" s="7">
        <v>23</v>
      </c>
      <c r="B25" s="5" t="s">
        <v>86</v>
      </c>
      <c r="C25" s="2" t="s">
        <v>21</v>
      </c>
      <c r="D25" s="2">
        <v>520100</v>
      </c>
      <c r="E25" s="2">
        <v>413600</v>
      </c>
      <c r="F25" s="2">
        <v>76365</v>
      </c>
      <c r="G25" s="2">
        <v>85</v>
      </c>
      <c r="H25" s="2">
        <v>602224.6</v>
      </c>
      <c r="I25" s="2">
        <v>91008.2</v>
      </c>
      <c r="J25" s="2">
        <v>61079</v>
      </c>
      <c r="K25" s="2">
        <v>34654.1</v>
      </c>
      <c r="L25" s="4">
        <v>30100</v>
      </c>
      <c r="M25" s="4">
        <v>38354.1</v>
      </c>
      <c r="N25" s="4">
        <f t="shared" si="0"/>
        <v>766156</v>
      </c>
      <c r="O25" s="4">
        <f t="shared" si="1"/>
        <v>857335</v>
      </c>
      <c r="P25" s="4">
        <f t="shared" si="2"/>
        <v>471534.25000000006</v>
      </c>
      <c r="Q25" s="12">
        <f t="shared" si="3"/>
        <v>98.503787878787875</v>
      </c>
      <c r="R25" s="31">
        <f t="shared" si="3"/>
        <v>78.333333333333329</v>
      </c>
    </row>
    <row r="26" spans="1:19" x14ac:dyDescent="0.25">
      <c r="A26" s="7">
        <v>24</v>
      </c>
      <c r="B26" s="5" t="s">
        <v>87</v>
      </c>
      <c r="C26" s="2" t="s">
        <v>21</v>
      </c>
      <c r="D26" s="2">
        <v>492000</v>
      </c>
      <c r="E26" s="2">
        <v>426200</v>
      </c>
      <c r="F26" s="2">
        <v>72105</v>
      </c>
      <c r="G26" s="2">
        <v>180</v>
      </c>
      <c r="H26" s="2">
        <v>589134.19999999995</v>
      </c>
      <c r="I26" s="2">
        <v>93611.4</v>
      </c>
      <c r="J26" s="2">
        <v>60018</v>
      </c>
      <c r="K26" s="2">
        <v>34755.699999999997</v>
      </c>
      <c r="L26" s="4">
        <v>29900</v>
      </c>
      <c r="M26" s="4">
        <v>38855.699999999997</v>
      </c>
      <c r="N26" s="4">
        <f t="shared" si="0"/>
        <v>756177</v>
      </c>
      <c r="O26" s="4">
        <f t="shared" si="1"/>
        <v>846095</v>
      </c>
      <c r="P26" s="4">
        <f t="shared" si="2"/>
        <v>465352.25000000006</v>
      </c>
      <c r="Q26" s="12">
        <f t="shared" si="3"/>
        <v>93.181818181818173</v>
      </c>
      <c r="R26" s="31">
        <f t="shared" si="3"/>
        <v>80.719696969696969</v>
      </c>
    </row>
    <row r="27" spans="1:19" x14ac:dyDescent="0.25">
      <c r="A27" s="7">
        <v>25</v>
      </c>
      <c r="B27" s="5" t="s">
        <v>88</v>
      </c>
      <c r="C27" s="2" t="s">
        <v>21</v>
      </c>
      <c r="D27" s="2">
        <v>477100</v>
      </c>
      <c r="E27" s="2">
        <v>424000</v>
      </c>
      <c r="F27" s="2">
        <v>62490</v>
      </c>
      <c r="G27" s="2">
        <v>70</v>
      </c>
      <c r="H27" s="2">
        <v>592189.4</v>
      </c>
      <c r="I27" s="2">
        <v>83129.8</v>
      </c>
      <c r="J27" s="2">
        <v>60531</v>
      </c>
      <c r="K27" s="2">
        <v>33014.9</v>
      </c>
      <c r="L27" s="4">
        <v>31000</v>
      </c>
      <c r="M27" s="4">
        <v>38814.9</v>
      </c>
      <c r="N27" s="4">
        <f t="shared" si="0"/>
        <v>747079</v>
      </c>
      <c r="O27" s="4">
        <f t="shared" si="1"/>
        <v>838610</v>
      </c>
      <c r="P27" s="4">
        <f t="shared" si="2"/>
        <v>461235.50000000006</v>
      </c>
      <c r="Q27" s="12">
        <f t="shared" si="3"/>
        <v>90.359848484848484</v>
      </c>
      <c r="R27" s="31">
        <f t="shared" si="3"/>
        <v>80.303030303030297</v>
      </c>
    </row>
    <row r="28" spans="1:19" x14ac:dyDescent="0.25">
      <c r="A28" s="7">
        <v>26</v>
      </c>
      <c r="B28" s="5" t="s">
        <v>89</v>
      </c>
      <c r="C28" s="2" t="s">
        <v>21</v>
      </c>
      <c r="D28" s="2">
        <v>475500</v>
      </c>
      <c r="E28" s="2">
        <v>424500</v>
      </c>
      <c r="F28" s="2">
        <v>63235</v>
      </c>
      <c r="G28" s="2">
        <v>140</v>
      </c>
      <c r="H28" s="2">
        <v>577060.19999999995</v>
      </c>
      <c r="I28" s="2">
        <v>98253.4</v>
      </c>
      <c r="J28" s="2">
        <v>60638</v>
      </c>
      <c r="K28" s="2">
        <v>32426.7</v>
      </c>
      <c r="L28" s="4">
        <v>30400</v>
      </c>
      <c r="M28" s="4">
        <v>38126.699999999997</v>
      </c>
      <c r="N28" s="4">
        <f t="shared" si="0"/>
        <v>745727</v>
      </c>
      <c r="O28" s="4">
        <f t="shared" si="1"/>
        <v>836765</v>
      </c>
      <c r="P28" s="4">
        <f t="shared" si="2"/>
        <v>460220.75000000006</v>
      </c>
      <c r="Q28" s="12">
        <f t="shared" si="3"/>
        <v>90.056818181818173</v>
      </c>
      <c r="R28" s="31">
        <f t="shared" si="3"/>
        <v>80.397727272727266</v>
      </c>
    </row>
    <row r="29" spans="1:19" x14ac:dyDescent="0.25">
      <c r="A29" s="7">
        <v>27</v>
      </c>
      <c r="B29" s="5" t="s">
        <v>91</v>
      </c>
      <c r="C29" s="2" t="s">
        <v>21</v>
      </c>
      <c r="D29" s="2">
        <v>480400</v>
      </c>
      <c r="E29" s="2">
        <v>413100</v>
      </c>
      <c r="F29" s="2">
        <v>47300</v>
      </c>
      <c r="G29" s="2">
        <v>330</v>
      </c>
      <c r="H29" s="2">
        <v>586828.80000000005</v>
      </c>
      <c r="I29" s="2">
        <v>98109.6</v>
      </c>
      <c r="J29" s="2">
        <v>61182</v>
      </c>
      <c r="K29" s="2">
        <v>31804.799999999999</v>
      </c>
      <c r="L29" s="4">
        <v>30500</v>
      </c>
      <c r="M29" s="4">
        <v>38104.800000000003</v>
      </c>
      <c r="N29" s="4">
        <f t="shared" si="0"/>
        <v>754518</v>
      </c>
      <c r="O29" s="4">
        <f t="shared" si="1"/>
        <v>846200</v>
      </c>
      <c r="P29" s="4">
        <f t="shared" si="2"/>
        <v>465410.00000000006</v>
      </c>
      <c r="Q29" s="12">
        <f t="shared" si="3"/>
        <v>90.984848484848484</v>
      </c>
      <c r="R29" s="31">
        <f t="shared" si="3"/>
        <v>78.23863636363636</v>
      </c>
    </row>
    <row r="30" spans="1:19" s="19" customFormat="1" x14ac:dyDescent="0.25">
      <c r="A30" s="7">
        <v>28</v>
      </c>
      <c r="B30" s="34" t="s">
        <v>92</v>
      </c>
      <c r="C30" s="33" t="s">
        <v>21</v>
      </c>
      <c r="D30" s="33">
        <v>457600</v>
      </c>
      <c r="E30" s="33">
        <v>394000</v>
      </c>
      <c r="F30" s="33">
        <v>52325</v>
      </c>
      <c r="G30" s="33">
        <v>390</v>
      </c>
      <c r="H30" s="33">
        <v>558795.4</v>
      </c>
      <c r="I30" s="33">
        <v>82631.8</v>
      </c>
      <c r="J30" s="33">
        <v>60906</v>
      </c>
      <c r="K30" s="33">
        <v>30615.9</v>
      </c>
      <c r="L30" s="35">
        <v>30200</v>
      </c>
      <c r="M30" s="36">
        <v>36515.9</v>
      </c>
      <c r="N30" s="36">
        <f t="shared" si="0"/>
        <v>708169</v>
      </c>
      <c r="O30" s="36">
        <f t="shared" si="1"/>
        <v>799275</v>
      </c>
      <c r="P30" s="36">
        <f t="shared" si="2"/>
        <v>439601.25000000006</v>
      </c>
      <c r="Q30" s="37">
        <f t="shared" si="3"/>
        <v>86.666666666666671</v>
      </c>
      <c r="R30" s="38">
        <f t="shared" si="3"/>
        <v>74.621212121212125</v>
      </c>
      <c r="S30"/>
    </row>
    <row r="31" spans="1:19" x14ac:dyDescent="0.25">
      <c r="A31" s="7">
        <v>29</v>
      </c>
      <c r="B31" s="5" t="s">
        <v>93</v>
      </c>
      <c r="C31" s="2" t="s">
        <v>21</v>
      </c>
      <c r="D31" s="2">
        <v>451900</v>
      </c>
      <c r="E31" s="2">
        <v>431200</v>
      </c>
      <c r="F31" s="2">
        <v>47515</v>
      </c>
      <c r="G31" s="2">
        <v>4205</v>
      </c>
      <c r="H31" s="2">
        <v>579149</v>
      </c>
      <c r="I31" s="2">
        <v>100983</v>
      </c>
      <c r="J31" s="2">
        <v>59375</v>
      </c>
      <c r="K31" s="2">
        <v>29741.5</v>
      </c>
      <c r="L31" s="4">
        <v>31600</v>
      </c>
      <c r="M31" s="4">
        <v>38941.5</v>
      </c>
      <c r="N31" s="4">
        <f t="shared" si="0"/>
        <v>744610</v>
      </c>
      <c r="O31" s="4">
        <f t="shared" si="1"/>
        <v>835585</v>
      </c>
      <c r="P31" s="4">
        <f>O31*0.55</f>
        <v>459571.75000000006</v>
      </c>
      <c r="Q31" s="12">
        <f>(D31/528000)*100</f>
        <v>85.587121212121204</v>
      </c>
      <c r="R31" s="31">
        <f t="shared" ref="R31:R33" si="4">(E31/528000)*100</f>
        <v>81.666666666666671</v>
      </c>
    </row>
    <row r="32" spans="1:19" x14ac:dyDescent="0.25">
      <c r="A32" s="7">
        <v>30</v>
      </c>
      <c r="B32" s="5" t="s">
        <v>94</v>
      </c>
      <c r="C32" s="2" t="s">
        <v>21</v>
      </c>
      <c r="D32" s="2">
        <v>388400</v>
      </c>
      <c r="E32" s="2">
        <v>501400</v>
      </c>
      <c r="F32" s="2">
        <v>85545</v>
      </c>
      <c r="G32" s="2">
        <v>135</v>
      </c>
      <c r="H32" s="2">
        <v>559879.6</v>
      </c>
      <c r="I32" s="2">
        <v>83693.2</v>
      </c>
      <c r="J32" s="2">
        <v>52224</v>
      </c>
      <c r="K32" s="2">
        <v>30396.6</v>
      </c>
      <c r="L32" s="4">
        <v>35200</v>
      </c>
      <c r="M32" s="4">
        <v>42996.6</v>
      </c>
      <c r="N32" s="4">
        <f t="shared" si="0"/>
        <v>716831</v>
      </c>
      <c r="O32" s="4">
        <f t="shared" si="1"/>
        <v>804255</v>
      </c>
      <c r="P32" s="4">
        <f>O32*0.55</f>
        <v>442340.25000000006</v>
      </c>
      <c r="Q32" s="12">
        <f>(D32/528000)*100</f>
        <v>73.560606060606062</v>
      </c>
      <c r="R32" s="31">
        <f t="shared" si="4"/>
        <v>94.962121212121204</v>
      </c>
    </row>
    <row r="33" spans="1:18" x14ac:dyDescent="0.25">
      <c r="A33" s="7">
        <v>31</v>
      </c>
      <c r="B33" s="5" t="s">
        <v>95</v>
      </c>
      <c r="C33" s="2" t="s">
        <v>21</v>
      </c>
      <c r="D33" s="2">
        <v>414800</v>
      </c>
      <c r="E33" s="2">
        <v>476100</v>
      </c>
      <c r="F33" s="2">
        <v>68570</v>
      </c>
      <c r="G33" s="2">
        <v>150</v>
      </c>
      <c r="H33" s="2">
        <v>561183.80000000005</v>
      </c>
      <c r="I33" s="2">
        <v>100194.6</v>
      </c>
      <c r="J33" s="2">
        <v>55007</v>
      </c>
      <c r="K33" s="2">
        <v>31047.3</v>
      </c>
      <c r="L33" s="4">
        <v>33400</v>
      </c>
      <c r="M33" s="4">
        <v>41647.300000000003</v>
      </c>
      <c r="N33" s="4">
        <f t="shared" si="0"/>
        <v>733923</v>
      </c>
      <c r="O33" s="4">
        <f t="shared" si="1"/>
        <v>822330</v>
      </c>
      <c r="P33" s="4">
        <f>O33*0.55</f>
        <v>452281.50000000006</v>
      </c>
      <c r="Q33" s="12">
        <f>(D33/528000)*100</f>
        <v>78.560606060606062</v>
      </c>
      <c r="R33" s="31">
        <f t="shared" si="4"/>
        <v>90.170454545454547</v>
      </c>
    </row>
    <row r="34" spans="1:18" x14ac:dyDescent="0.25">
      <c r="A34" s="2"/>
      <c r="B34" s="2"/>
      <c r="C34" s="8" t="s">
        <v>15</v>
      </c>
      <c r="D34" s="8">
        <f t="shared" ref="D34:P34" si="5">SUM(D3:D33)</f>
        <v>14334900</v>
      </c>
      <c r="E34" s="8">
        <f>SUM(E3:E33)</f>
        <v>12731400</v>
      </c>
      <c r="F34" s="8">
        <f t="shared" si="5"/>
        <v>1733410</v>
      </c>
      <c r="G34" s="8">
        <f t="shared" si="5"/>
        <v>172554</v>
      </c>
      <c r="H34" s="8">
        <f t="shared" si="5"/>
        <v>18068442.600000001</v>
      </c>
      <c r="I34" s="23">
        <f>SUM(I3:I33)</f>
        <v>2486514.1999999997</v>
      </c>
      <c r="J34" s="8">
        <f t="shared" si="5"/>
        <v>1806264</v>
      </c>
      <c r="K34" s="8">
        <f t="shared" si="5"/>
        <v>1003907.1000000001</v>
      </c>
      <c r="L34" s="8">
        <f>SUM(L3:L33)</f>
        <v>939900</v>
      </c>
      <c r="M34" s="8">
        <f>SUM(M3:M33)</f>
        <v>1200407.1000000001</v>
      </c>
      <c r="N34" s="8">
        <f t="shared" si="5"/>
        <v>22586726</v>
      </c>
      <c r="O34" s="8">
        <f t="shared" si="5"/>
        <v>25332890</v>
      </c>
      <c r="P34" s="8">
        <f t="shared" si="5"/>
        <v>13933089.500000002</v>
      </c>
      <c r="Q34" s="13">
        <f>SUM(Q3:Q32)/30</f>
        <v>87.879419191919169</v>
      </c>
      <c r="R34" s="13">
        <f>SUM(R3:R33)/30</f>
        <v>80.374999999999972</v>
      </c>
    </row>
    <row r="35" spans="1:18" x14ac:dyDescent="0.25">
      <c r="A35" s="2"/>
      <c r="B35" s="2"/>
      <c r="C35" s="8" t="s">
        <v>16</v>
      </c>
      <c r="D35" s="2">
        <v>14334900</v>
      </c>
      <c r="E35" s="2"/>
      <c r="F35" s="2">
        <v>1736111</v>
      </c>
      <c r="G35" s="2">
        <v>174780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x14ac:dyDescent="0.25">
      <c r="A36" s="2"/>
      <c r="B36" s="2"/>
      <c r="C36" s="8" t="s">
        <v>17</v>
      </c>
      <c r="D36" s="2">
        <f>D34-D35</f>
        <v>0</v>
      </c>
      <c r="E36" s="2"/>
      <c r="F36" s="2"/>
      <c r="G36" s="2"/>
      <c r="H36" s="63">
        <v>-466</v>
      </c>
      <c r="I36" s="64"/>
      <c r="J36" s="64"/>
      <c r="K36" s="64"/>
      <c r="L36" s="64"/>
      <c r="M36" s="65"/>
      <c r="N36" s="2"/>
      <c r="O36" s="2"/>
      <c r="P36" s="2"/>
      <c r="Q36" s="2"/>
      <c r="R36" s="2"/>
    </row>
    <row r="37" spans="1:18" x14ac:dyDescent="0.25">
      <c r="A37" s="2"/>
      <c r="B37" s="2"/>
      <c r="C37" s="8" t="s">
        <v>18</v>
      </c>
      <c r="D37" s="2"/>
      <c r="E37" s="2"/>
      <c r="F37" s="2"/>
      <c r="G37" s="2"/>
      <c r="H37" s="39">
        <v>18068209.600000001</v>
      </c>
      <c r="I37" s="39">
        <v>2486421</v>
      </c>
      <c r="J37" s="39"/>
      <c r="K37" s="39">
        <v>1003837.2</v>
      </c>
      <c r="L37" s="39"/>
      <c r="M37" s="39">
        <v>1200337.2</v>
      </c>
      <c r="N37" s="2"/>
      <c r="O37" s="2"/>
      <c r="P37" s="2"/>
      <c r="Q37" s="2"/>
      <c r="R37" s="2"/>
    </row>
    <row r="38" spans="1:18" x14ac:dyDescent="0.25">
      <c r="A38" s="2"/>
      <c r="B38" s="2"/>
      <c r="C38" s="8" t="s">
        <v>19</v>
      </c>
      <c r="D38" s="2">
        <v>638202.6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 x14ac:dyDescent="0.25">
      <c r="A39" s="2"/>
      <c r="B39" s="2"/>
      <c r="C39" s="8" t="s">
        <v>20</v>
      </c>
      <c r="D39" s="2">
        <v>652537.5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 x14ac:dyDescent="0.25">
      <c r="A40" s="1"/>
      <c r="B40" s="1"/>
      <c r="C40" s="1"/>
      <c r="D40" s="1">
        <f>D39-D38</f>
        <v>14334.900000000023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x14ac:dyDescent="0.25">
      <c r="A42" s="1"/>
      <c r="B42" s="1"/>
      <c r="C42" s="1"/>
      <c r="D42" s="1"/>
      <c r="E42" s="1"/>
      <c r="F42" s="1"/>
      <c r="G42" s="1"/>
      <c r="H42" s="1"/>
      <c r="I42" s="24"/>
      <c r="J42" s="1"/>
      <c r="K42" s="1"/>
      <c r="L42" s="1"/>
      <c r="M42" s="1"/>
      <c r="N42" s="1"/>
      <c r="O42" s="1"/>
      <c r="P42" s="1"/>
      <c r="Q42" s="1"/>
      <c r="R42" s="1"/>
    </row>
    <row r="43" spans="1:18" x14ac:dyDescent="0.25">
      <c r="A43" s="1"/>
      <c r="B43" s="1"/>
      <c r="C43" s="1"/>
      <c r="D43" s="1"/>
      <c r="E43" s="1"/>
      <c r="F43" s="1"/>
      <c r="G43" s="24"/>
      <c r="H43" s="1"/>
      <c r="I43" s="20"/>
      <c r="J43" s="1"/>
      <c r="K43" s="1"/>
      <c r="L43" s="1"/>
      <c r="M43" s="1"/>
      <c r="N43" s="1"/>
      <c r="O43" s="1"/>
      <c r="P43" s="1"/>
      <c r="Q43" s="1"/>
      <c r="R43" s="1"/>
    </row>
    <row r="44" spans="1:18" x14ac:dyDescent="0.25">
      <c r="A44" s="1"/>
      <c r="B44" s="1"/>
      <c r="C44" s="1"/>
      <c r="D44" s="1"/>
      <c r="E44" s="1"/>
      <c r="F44" s="1"/>
      <c r="G44" s="1"/>
      <c r="H44" s="1"/>
      <c r="I44" s="32"/>
      <c r="J44" s="1"/>
      <c r="K44" s="1"/>
      <c r="L44" s="1"/>
      <c r="M44" s="1"/>
      <c r="N44" s="1"/>
      <c r="O44" s="1"/>
      <c r="P44" s="1"/>
      <c r="Q44" s="1"/>
      <c r="R44" s="1"/>
    </row>
    <row r="45" spans="1:18" x14ac:dyDescent="0.25">
      <c r="A45" s="1"/>
      <c r="B45" s="1"/>
      <c r="C45" s="1"/>
      <c r="D45" s="1"/>
      <c r="E45" s="1"/>
      <c r="F45" s="1"/>
      <c r="G45" s="1"/>
      <c r="H45" s="1"/>
      <c r="I45" s="32"/>
      <c r="J45" s="1"/>
      <c r="K45" s="1"/>
      <c r="L45" s="1"/>
      <c r="M45" s="1"/>
      <c r="N45" s="1"/>
      <c r="O45" s="1"/>
      <c r="P45" s="1"/>
      <c r="Q45" s="1"/>
      <c r="R45" s="1"/>
    </row>
    <row r="46" spans="1:18" x14ac:dyDescent="0.25">
      <c r="A46" s="1"/>
      <c r="B46" s="1"/>
      <c r="C46" s="1"/>
      <c r="D46" s="1"/>
      <c r="E46" s="1"/>
      <c r="F46" s="1"/>
      <c r="G46" s="1"/>
      <c r="H46" s="1"/>
      <c r="I46" s="32"/>
      <c r="J46" s="1"/>
      <c r="K46" s="1"/>
      <c r="L46" s="1"/>
      <c r="M46" s="1"/>
      <c r="N46" s="1"/>
      <c r="O46" s="1"/>
      <c r="P46" s="1"/>
      <c r="Q46" s="1"/>
      <c r="R46" s="1"/>
    </row>
    <row r="47" spans="1:18" x14ac:dyDescent="0.25">
      <c r="A47" s="1"/>
      <c r="B47" s="1"/>
      <c r="C47" s="1"/>
      <c r="D47" s="1"/>
      <c r="E47" s="1"/>
      <c r="F47" s="1"/>
      <c r="G47" s="1"/>
      <c r="H47" s="1"/>
      <c r="I47" s="32"/>
      <c r="J47" s="1"/>
      <c r="K47" s="1"/>
      <c r="L47" s="1"/>
      <c r="M47" s="1"/>
      <c r="N47" s="1"/>
      <c r="O47" s="1"/>
      <c r="P47" s="1"/>
      <c r="Q47" s="1"/>
      <c r="R47" s="1"/>
    </row>
    <row r="48" spans="1:18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</sheetData>
  <mergeCells count="2">
    <mergeCell ref="A1:R1"/>
    <mergeCell ref="H36:M36"/>
  </mergeCells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T49"/>
  <sheetViews>
    <sheetView topLeftCell="A16" zoomScaleNormal="100" workbookViewId="0">
      <selection activeCell="E29" sqref="E29"/>
    </sheetView>
  </sheetViews>
  <sheetFormatPr defaultRowHeight="15" x14ac:dyDescent="0.25"/>
  <cols>
    <col min="1" max="1" width="5.5703125" bestFit="1" customWidth="1"/>
    <col min="2" max="2" width="10.140625" customWidth="1"/>
    <col min="3" max="3" width="18" customWidth="1"/>
    <col min="4" max="5" width="10.42578125" customWidth="1"/>
    <col min="6" max="6" width="8.85546875" customWidth="1"/>
    <col min="7" max="7" width="11.42578125" customWidth="1"/>
    <col min="8" max="8" width="12.7109375" customWidth="1"/>
    <col min="9" max="9" width="13.140625" customWidth="1"/>
    <col min="10" max="11" width="9.85546875" customWidth="1"/>
    <col min="12" max="12" width="11.140625" customWidth="1"/>
    <col min="13" max="13" width="9.7109375" customWidth="1"/>
    <col min="14" max="14" width="8.7109375" customWidth="1"/>
    <col min="15" max="15" width="13" customWidth="1"/>
    <col min="16" max="16" width="11.5703125" bestFit="1" customWidth="1"/>
    <col min="17" max="17" width="7.42578125" customWidth="1"/>
    <col min="18" max="18" width="9" customWidth="1"/>
  </cols>
  <sheetData>
    <row r="1" spans="1:20" ht="40.5" customHeight="1" thickBot="1" x14ac:dyDescent="0.3">
      <c r="A1" s="66" t="s">
        <v>59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</row>
    <row r="2" spans="1:20" ht="51.75" customHeight="1" thickBot="1" x14ac:dyDescent="0.3">
      <c r="A2" s="9" t="s">
        <v>0</v>
      </c>
      <c r="B2" s="10" t="s">
        <v>1</v>
      </c>
      <c r="C2" s="10" t="s">
        <v>2</v>
      </c>
      <c r="D2" s="21" t="s">
        <v>56</v>
      </c>
      <c r="E2" s="21" t="s">
        <v>57</v>
      </c>
      <c r="F2" s="21" t="s">
        <v>4</v>
      </c>
      <c r="G2" s="21" t="s">
        <v>5</v>
      </c>
      <c r="H2" s="21" t="s">
        <v>6</v>
      </c>
      <c r="I2" s="21" t="s">
        <v>7</v>
      </c>
      <c r="J2" s="21" t="s">
        <v>64</v>
      </c>
      <c r="K2" s="21" t="s">
        <v>66</v>
      </c>
      <c r="L2" s="21" t="s">
        <v>65</v>
      </c>
      <c r="M2" s="21" t="s">
        <v>67</v>
      </c>
      <c r="N2" s="21" t="s">
        <v>10</v>
      </c>
      <c r="O2" s="21" t="s">
        <v>11</v>
      </c>
      <c r="P2" s="10" t="s">
        <v>12</v>
      </c>
      <c r="Q2" s="29" t="s">
        <v>54</v>
      </c>
      <c r="R2" s="30" t="s">
        <v>55</v>
      </c>
    </row>
    <row r="3" spans="1:20" x14ac:dyDescent="0.25">
      <c r="A3" s="6">
        <v>1</v>
      </c>
      <c r="B3" s="5">
        <v>45748</v>
      </c>
      <c r="C3" s="4" t="s">
        <v>21</v>
      </c>
      <c r="D3" s="4">
        <v>527100</v>
      </c>
      <c r="E3" s="4">
        <v>305500</v>
      </c>
      <c r="F3" s="4">
        <v>21710</v>
      </c>
      <c r="G3" s="4">
        <v>42500</v>
      </c>
      <c r="H3" s="4">
        <v>616054</v>
      </c>
      <c r="I3" s="4">
        <v>93051.4</v>
      </c>
      <c r="J3" s="4">
        <v>57833</v>
      </c>
      <c r="K3" s="4">
        <v>32625.7</v>
      </c>
      <c r="L3" s="4">
        <v>24800</v>
      </c>
      <c r="M3" s="4">
        <v>29025.7</v>
      </c>
      <c r="N3" s="4">
        <f>(D3+E3)-F3-J3-L3</f>
        <v>728257</v>
      </c>
      <c r="O3" s="4">
        <f>(D3+E3)-F3</f>
        <v>810890</v>
      </c>
      <c r="P3" s="4">
        <f>O3*0.55</f>
        <v>445989.50000000006</v>
      </c>
      <c r="Q3" s="12">
        <f>(D3/528000)*100</f>
        <v>99.829545454545453</v>
      </c>
      <c r="R3" s="31">
        <f>(E3/528000)*100</f>
        <v>57.859848484848484</v>
      </c>
    </row>
    <row r="4" spans="1:20" x14ac:dyDescent="0.25">
      <c r="A4" s="7">
        <v>2</v>
      </c>
      <c r="B4" s="5">
        <v>45749</v>
      </c>
      <c r="C4" s="2" t="s">
        <v>21</v>
      </c>
      <c r="D4" s="2">
        <v>473700</v>
      </c>
      <c r="E4" s="2">
        <v>306700</v>
      </c>
      <c r="F4" s="2">
        <v>32485</v>
      </c>
      <c r="G4" s="2">
        <v>25665</v>
      </c>
      <c r="H4" s="2">
        <v>559847</v>
      </c>
      <c r="I4" s="2">
        <v>77415.600000000006</v>
      </c>
      <c r="J4" s="2">
        <v>52802</v>
      </c>
      <c r="K4" s="2">
        <v>30857.8</v>
      </c>
      <c r="L4" s="4">
        <v>24300</v>
      </c>
      <c r="M4" s="4">
        <v>28357.8</v>
      </c>
      <c r="N4" s="4">
        <f t="shared" ref="N4:N33" si="0">(D4+E4)-F4-J4-L4</f>
        <v>670813</v>
      </c>
      <c r="O4" s="4">
        <f t="shared" ref="O4:O33" si="1">(D4+E4)-F4</f>
        <v>747915</v>
      </c>
      <c r="P4" s="4">
        <f t="shared" ref="P4:P30" si="2">O4*0.55</f>
        <v>411353.25000000006</v>
      </c>
      <c r="Q4" s="12">
        <f t="shared" ref="Q4:R30" si="3">(D4/528000)*100</f>
        <v>89.715909090909093</v>
      </c>
      <c r="R4" s="31">
        <f t="shared" si="3"/>
        <v>58.087121212121204</v>
      </c>
    </row>
    <row r="5" spans="1:20" x14ac:dyDescent="0.25">
      <c r="A5" s="7">
        <v>3</v>
      </c>
      <c r="B5" s="5">
        <v>45750</v>
      </c>
      <c r="C5" s="2" t="s">
        <v>21</v>
      </c>
      <c r="D5" s="2">
        <v>515700</v>
      </c>
      <c r="E5" s="2">
        <v>359300</v>
      </c>
      <c r="F5" s="2">
        <v>46995</v>
      </c>
      <c r="G5" s="2">
        <v>12975</v>
      </c>
      <c r="H5" s="2">
        <v>605456</v>
      </c>
      <c r="I5" s="2">
        <v>88985.4</v>
      </c>
      <c r="J5" s="2">
        <v>56753</v>
      </c>
      <c r="K5" s="2">
        <v>31742.7</v>
      </c>
      <c r="L5" s="4">
        <v>27300</v>
      </c>
      <c r="M5" s="4">
        <v>30742.7</v>
      </c>
      <c r="N5" s="4">
        <f t="shared" si="0"/>
        <v>743952</v>
      </c>
      <c r="O5" s="4">
        <f t="shared" si="1"/>
        <v>828005</v>
      </c>
      <c r="P5" s="4">
        <f t="shared" si="2"/>
        <v>455402.75000000006</v>
      </c>
      <c r="Q5" s="12">
        <f t="shared" si="3"/>
        <v>97.670454545454547</v>
      </c>
      <c r="R5" s="31">
        <f t="shared" si="3"/>
        <v>68.049242424242422</v>
      </c>
    </row>
    <row r="6" spans="1:20" x14ac:dyDescent="0.25">
      <c r="A6" s="7">
        <v>4</v>
      </c>
      <c r="B6" s="5">
        <v>45751</v>
      </c>
      <c r="C6" s="2" t="s">
        <v>21</v>
      </c>
      <c r="D6" s="2">
        <v>478300</v>
      </c>
      <c r="E6" s="2">
        <v>371100</v>
      </c>
      <c r="F6" s="2">
        <v>68905</v>
      </c>
      <c r="G6" s="2">
        <v>2965</v>
      </c>
      <c r="H6" s="2">
        <v>593893</v>
      </c>
      <c r="I6" s="2">
        <v>42697.8</v>
      </c>
      <c r="J6" s="2">
        <v>53771</v>
      </c>
      <c r="K6" s="2">
        <v>32098.9</v>
      </c>
      <c r="L6" s="4">
        <v>28500</v>
      </c>
      <c r="M6" s="4">
        <v>32498.9</v>
      </c>
      <c r="N6" s="4">
        <f t="shared" si="0"/>
        <v>698224</v>
      </c>
      <c r="O6" s="4">
        <f t="shared" si="1"/>
        <v>780495</v>
      </c>
      <c r="P6" s="4">
        <f t="shared" si="2"/>
        <v>429272.25000000006</v>
      </c>
      <c r="Q6" s="12">
        <f t="shared" si="3"/>
        <v>90.587121212121218</v>
      </c>
      <c r="R6" s="31">
        <f t="shared" si="3"/>
        <v>70.284090909090907</v>
      </c>
    </row>
    <row r="7" spans="1:20" x14ac:dyDescent="0.25">
      <c r="A7" s="7">
        <v>5</v>
      </c>
      <c r="B7" s="5">
        <v>45752</v>
      </c>
      <c r="C7" s="2" t="s">
        <v>21</v>
      </c>
      <c r="D7" s="2">
        <v>504800</v>
      </c>
      <c r="E7" s="2">
        <v>409700</v>
      </c>
      <c r="F7" s="2">
        <v>88815</v>
      </c>
      <c r="G7" s="2">
        <v>595</v>
      </c>
      <c r="H7" s="2">
        <v>605888</v>
      </c>
      <c r="I7" s="2">
        <v>68029.2</v>
      </c>
      <c r="J7" s="2">
        <v>55034</v>
      </c>
      <c r="K7" s="2">
        <v>32014.6</v>
      </c>
      <c r="L7" s="4">
        <v>30500</v>
      </c>
      <c r="M7" s="4">
        <v>34814.6</v>
      </c>
      <c r="N7" s="4">
        <f t="shared" si="0"/>
        <v>740151</v>
      </c>
      <c r="O7" s="4">
        <f t="shared" si="1"/>
        <v>825685</v>
      </c>
      <c r="P7" s="4">
        <f t="shared" si="2"/>
        <v>454126.75000000006</v>
      </c>
      <c r="Q7" s="12">
        <f t="shared" si="3"/>
        <v>95.606060606060609</v>
      </c>
      <c r="R7" s="31">
        <f t="shared" si="3"/>
        <v>77.594696969696969</v>
      </c>
    </row>
    <row r="8" spans="1:20" x14ac:dyDescent="0.25">
      <c r="A8" s="7">
        <v>6</v>
      </c>
      <c r="B8" s="5">
        <v>45753</v>
      </c>
      <c r="C8" s="2" t="s">
        <v>21</v>
      </c>
      <c r="D8" s="2">
        <v>487500</v>
      </c>
      <c r="E8" s="2">
        <v>448500</v>
      </c>
      <c r="F8" s="2">
        <v>115445</v>
      </c>
      <c r="G8" s="2">
        <v>165</v>
      </c>
      <c r="H8" s="2">
        <v>577517</v>
      </c>
      <c r="I8" s="2">
        <v>86305.600000000006</v>
      </c>
      <c r="J8" s="2">
        <v>55392</v>
      </c>
      <c r="K8" s="2">
        <v>32502.799999999999</v>
      </c>
      <c r="L8" s="4">
        <v>31900</v>
      </c>
      <c r="M8" s="4">
        <v>37102.800000000003</v>
      </c>
      <c r="N8" s="4">
        <f t="shared" si="0"/>
        <v>733263</v>
      </c>
      <c r="O8" s="4">
        <f t="shared" si="1"/>
        <v>820555</v>
      </c>
      <c r="P8" s="4">
        <f t="shared" si="2"/>
        <v>451305.25000000006</v>
      </c>
      <c r="Q8" s="12">
        <f t="shared" si="3"/>
        <v>92.329545454545453</v>
      </c>
      <c r="R8" s="31">
        <f t="shared" si="3"/>
        <v>84.943181818181827</v>
      </c>
    </row>
    <row r="9" spans="1:20" x14ac:dyDescent="0.25">
      <c r="A9" s="7">
        <v>7</v>
      </c>
      <c r="B9" s="5">
        <v>45754</v>
      </c>
      <c r="C9" s="2" t="s">
        <v>21</v>
      </c>
      <c r="D9" s="2">
        <v>503000</v>
      </c>
      <c r="E9" s="2">
        <v>445500</v>
      </c>
      <c r="F9" s="2">
        <v>95665</v>
      </c>
      <c r="G9" s="2">
        <v>220</v>
      </c>
      <c r="H9" s="2">
        <v>613418</v>
      </c>
      <c r="I9" s="2">
        <v>79939.399999999994</v>
      </c>
      <c r="J9" s="2">
        <v>58658</v>
      </c>
      <c r="K9" s="2">
        <v>31269.7</v>
      </c>
      <c r="L9" s="4">
        <v>32000</v>
      </c>
      <c r="M9" s="4">
        <v>37769.699999999997</v>
      </c>
      <c r="N9" s="4">
        <f t="shared" si="0"/>
        <v>762177</v>
      </c>
      <c r="O9" s="4">
        <f t="shared" si="1"/>
        <v>852835</v>
      </c>
      <c r="P9" s="4">
        <f t="shared" si="2"/>
        <v>469059.25000000006</v>
      </c>
      <c r="Q9" s="12">
        <f t="shared" si="3"/>
        <v>95.265151515151516</v>
      </c>
      <c r="R9" s="31">
        <f t="shared" si="3"/>
        <v>84.375</v>
      </c>
    </row>
    <row r="10" spans="1:20" x14ac:dyDescent="0.25">
      <c r="A10" s="7">
        <v>8</v>
      </c>
      <c r="B10" s="5">
        <v>45755</v>
      </c>
      <c r="C10" s="2" t="s">
        <v>21</v>
      </c>
      <c r="D10" s="2">
        <v>502900</v>
      </c>
      <c r="E10" s="2">
        <v>424500</v>
      </c>
      <c r="F10" s="2">
        <v>80100</v>
      </c>
      <c r="G10" s="2">
        <v>3125</v>
      </c>
      <c r="H10" s="2">
        <v>611547</v>
      </c>
      <c r="I10" s="2">
        <v>79549</v>
      </c>
      <c r="J10" s="2">
        <v>59280</v>
      </c>
      <c r="K10" s="2">
        <v>31574.5</v>
      </c>
      <c r="L10" s="4">
        <v>31000</v>
      </c>
      <c r="M10" s="4">
        <v>37474.5</v>
      </c>
      <c r="N10" s="4">
        <f t="shared" si="0"/>
        <v>757020</v>
      </c>
      <c r="O10" s="4">
        <f t="shared" si="1"/>
        <v>847300</v>
      </c>
      <c r="P10" s="4">
        <f t="shared" si="2"/>
        <v>466015.00000000006</v>
      </c>
      <c r="Q10" s="12">
        <f t="shared" si="3"/>
        <v>95.246212121212125</v>
      </c>
      <c r="R10" s="31">
        <f t="shared" si="3"/>
        <v>80.397727272727266</v>
      </c>
    </row>
    <row r="11" spans="1:20" x14ac:dyDescent="0.25">
      <c r="A11" s="7">
        <v>9</v>
      </c>
      <c r="B11" s="5">
        <v>45756</v>
      </c>
      <c r="C11" s="2" t="s">
        <v>21</v>
      </c>
      <c r="D11" s="2">
        <v>471900</v>
      </c>
      <c r="E11" s="2">
        <v>380600</v>
      </c>
      <c r="F11" s="2">
        <v>57790</v>
      </c>
      <c r="G11" s="2">
        <v>11935</v>
      </c>
      <c r="H11" s="2">
        <v>582641</v>
      </c>
      <c r="I11" s="2">
        <v>71980.399999999994</v>
      </c>
      <c r="J11" s="2">
        <v>57543</v>
      </c>
      <c r="K11" s="2">
        <v>29390.2</v>
      </c>
      <c r="L11" s="4">
        <v>29100</v>
      </c>
      <c r="M11" s="4">
        <v>35990.199999999997</v>
      </c>
      <c r="N11" s="4">
        <f t="shared" si="0"/>
        <v>708067</v>
      </c>
      <c r="O11" s="4">
        <f t="shared" si="1"/>
        <v>794710</v>
      </c>
      <c r="P11" s="4">
        <f t="shared" si="2"/>
        <v>437090.50000000006</v>
      </c>
      <c r="Q11" s="12">
        <f t="shared" si="3"/>
        <v>89.375</v>
      </c>
      <c r="R11" s="31">
        <f t="shared" si="3"/>
        <v>72.083333333333329</v>
      </c>
    </row>
    <row r="12" spans="1:20" x14ac:dyDescent="0.25">
      <c r="A12" s="7">
        <v>10</v>
      </c>
      <c r="B12" s="5">
        <v>45757</v>
      </c>
      <c r="C12" s="2" t="s">
        <v>21</v>
      </c>
      <c r="D12" s="2">
        <v>484300</v>
      </c>
      <c r="E12" s="2">
        <v>413400</v>
      </c>
      <c r="F12" s="2">
        <v>46935</v>
      </c>
      <c r="G12" s="2">
        <v>9660</v>
      </c>
      <c r="H12" s="2">
        <v>619782</v>
      </c>
      <c r="I12" s="2">
        <v>88627.4</v>
      </c>
      <c r="J12" s="2">
        <v>55688</v>
      </c>
      <c r="K12" s="2">
        <v>29913.7</v>
      </c>
      <c r="L12" s="4">
        <v>28400</v>
      </c>
      <c r="M12" s="4">
        <v>38013.699999999997</v>
      </c>
      <c r="N12" s="4">
        <f t="shared" si="0"/>
        <v>766677</v>
      </c>
      <c r="O12" s="4">
        <f t="shared" si="1"/>
        <v>850765</v>
      </c>
      <c r="P12" s="4">
        <f t="shared" si="2"/>
        <v>467920.75000000006</v>
      </c>
      <c r="Q12" s="12">
        <f t="shared" si="3"/>
        <v>91.723484848484844</v>
      </c>
      <c r="R12" s="31">
        <f t="shared" si="3"/>
        <v>78.295454545454547</v>
      </c>
    </row>
    <row r="13" spans="1:20" x14ac:dyDescent="0.25">
      <c r="A13" s="7">
        <v>11</v>
      </c>
      <c r="B13" s="5">
        <v>45758</v>
      </c>
      <c r="C13" s="2" t="s">
        <v>21</v>
      </c>
      <c r="D13" s="2">
        <v>460100</v>
      </c>
      <c r="E13" s="2">
        <v>435900</v>
      </c>
      <c r="F13" s="2">
        <v>59390</v>
      </c>
      <c r="G13" s="2">
        <v>7335</v>
      </c>
      <c r="H13" s="2">
        <v>621078</v>
      </c>
      <c r="I13" s="2">
        <v>67426</v>
      </c>
      <c r="J13" s="2">
        <v>54015</v>
      </c>
      <c r="K13" s="2">
        <v>30463</v>
      </c>
      <c r="L13" s="4">
        <v>32000</v>
      </c>
      <c r="M13" s="4">
        <v>38963</v>
      </c>
      <c r="N13" s="4">
        <f t="shared" si="0"/>
        <v>750595</v>
      </c>
      <c r="O13" s="4">
        <f t="shared" si="1"/>
        <v>836610</v>
      </c>
      <c r="P13" s="4">
        <f t="shared" si="2"/>
        <v>460135.50000000006</v>
      </c>
      <c r="Q13" s="12">
        <f t="shared" si="3"/>
        <v>87.140151515151516</v>
      </c>
      <c r="R13" s="31">
        <f t="shared" si="3"/>
        <v>82.556818181818187</v>
      </c>
    </row>
    <row r="14" spans="1:20" x14ac:dyDescent="0.25">
      <c r="A14" s="7">
        <v>12</v>
      </c>
      <c r="B14" s="5">
        <v>45759</v>
      </c>
      <c r="C14" s="2" t="s">
        <v>21</v>
      </c>
      <c r="D14" s="2">
        <v>469300</v>
      </c>
      <c r="E14" s="2">
        <v>419600</v>
      </c>
      <c r="F14" s="2">
        <v>40440</v>
      </c>
      <c r="G14" s="2">
        <v>9615</v>
      </c>
      <c r="H14" s="2">
        <v>614131</v>
      </c>
      <c r="I14" s="2">
        <v>88310.399999999994</v>
      </c>
      <c r="J14" s="2">
        <v>56223</v>
      </c>
      <c r="K14" s="2">
        <v>29655.200000000001</v>
      </c>
      <c r="L14" s="4">
        <v>31200</v>
      </c>
      <c r="M14" s="4">
        <v>38555.199999999997</v>
      </c>
      <c r="N14" s="4">
        <f t="shared" si="0"/>
        <v>761037</v>
      </c>
      <c r="O14" s="4">
        <f t="shared" si="1"/>
        <v>848460</v>
      </c>
      <c r="P14" s="4">
        <f t="shared" si="2"/>
        <v>466653.00000000006</v>
      </c>
      <c r="Q14" s="12">
        <f t="shared" si="3"/>
        <v>88.882575757575751</v>
      </c>
      <c r="R14" s="31">
        <f t="shared" si="3"/>
        <v>79.469696969696969</v>
      </c>
    </row>
    <row r="15" spans="1:20" x14ac:dyDescent="0.25">
      <c r="A15" s="7">
        <v>13</v>
      </c>
      <c r="B15" s="5">
        <v>45760</v>
      </c>
      <c r="C15" s="2" t="s">
        <v>21</v>
      </c>
      <c r="D15" s="2">
        <v>472300</v>
      </c>
      <c r="E15" s="2">
        <v>424400</v>
      </c>
      <c r="F15" s="2">
        <v>43070</v>
      </c>
      <c r="G15" s="2">
        <v>8740</v>
      </c>
      <c r="H15" s="2">
        <v>615053</v>
      </c>
      <c r="I15" s="2">
        <v>91517.6</v>
      </c>
      <c r="J15" s="2">
        <v>58082</v>
      </c>
      <c r="K15" s="2">
        <v>28658.799999999999</v>
      </c>
      <c r="L15" s="4">
        <v>31000</v>
      </c>
      <c r="M15" s="4">
        <v>38058.800000000003</v>
      </c>
      <c r="N15" s="4">
        <f t="shared" si="0"/>
        <v>764548</v>
      </c>
      <c r="O15" s="4">
        <f t="shared" si="1"/>
        <v>853630</v>
      </c>
      <c r="P15" s="4">
        <f t="shared" si="2"/>
        <v>469496.50000000006</v>
      </c>
      <c r="Q15" s="12">
        <f t="shared" si="3"/>
        <v>89.450757575757578</v>
      </c>
      <c r="R15" s="31">
        <f t="shared" si="3"/>
        <v>80.37878787878789</v>
      </c>
      <c r="T15" s="18"/>
    </row>
    <row r="16" spans="1:20" x14ac:dyDescent="0.25">
      <c r="A16" s="7">
        <v>14</v>
      </c>
      <c r="B16" s="5">
        <v>45761</v>
      </c>
      <c r="C16" s="2" t="s">
        <v>21</v>
      </c>
      <c r="D16" s="2">
        <v>480400</v>
      </c>
      <c r="E16" s="2">
        <v>433800</v>
      </c>
      <c r="F16" s="2">
        <v>48800</v>
      </c>
      <c r="G16" s="2">
        <v>8610</v>
      </c>
      <c r="H16" s="2">
        <v>632912</v>
      </c>
      <c r="I16" s="2">
        <v>83037.399999999994</v>
      </c>
      <c r="J16" s="2">
        <v>57023</v>
      </c>
      <c r="K16" s="2">
        <v>31618.7</v>
      </c>
      <c r="L16" s="4">
        <v>30300</v>
      </c>
      <c r="M16" s="4">
        <v>39118.699999999997</v>
      </c>
      <c r="N16" s="4">
        <f t="shared" si="0"/>
        <v>778077</v>
      </c>
      <c r="O16" s="4">
        <f t="shared" si="1"/>
        <v>865400</v>
      </c>
      <c r="P16" s="4">
        <f t="shared" si="2"/>
        <v>475970.00000000006</v>
      </c>
      <c r="Q16" s="12">
        <f t="shared" si="3"/>
        <v>90.984848484848484</v>
      </c>
      <c r="R16" s="31">
        <f t="shared" si="3"/>
        <v>82.159090909090907</v>
      </c>
    </row>
    <row r="17" spans="1:18" x14ac:dyDescent="0.25">
      <c r="A17" s="7">
        <v>15</v>
      </c>
      <c r="B17" s="5">
        <v>45762</v>
      </c>
      <c r="C17" s="2" t="s">
        <v>21</v>
      </c>
      <c r="D17" s="2">
        <v>471400</v>
      </c>
      <c r="E17" s="2">
        <v>431200</v>
      </c>
      <c r="F17" s="2">
        <v>63635</v>
      </c>
      <c r="G17" s="2">
        <v>2590</v>
      </c>
      <c r="H17" s="2">
        <v>614361</v>
      </c>
      <c r="I17" s="2">
        <v>73353.600000000006</v>
      </c>
      <c r="J17" s="2">
        <v>54587</v>
      </c>
      <c r="K17" s="2">
        <v>31976.799999999999</v>
      </c>
      <c r="L17" s="4">
        <v>28600</v>
      </c>
      <c r="M17" s="4">
        <v>38676.800000000003</v>
      </c>
      <c r="N17" s="4">
        <f t="shared" si="0"/>
        <v>755778</v>
      </c>
      <c r="O17" s="4">
        <f t="shared" si="1"/>
        <v>838965</v>
      </c>
      <c r="P17" s="4">
        <f t="shared" si="2"/>
        <v>461430.75000000006</v>
      </c>
      <c r="Q17" s="12">
        <f t="shared" si="3"/>
        <v>89.280303030303031</v>
      </c>
      <c r="R17" s="31">
        <f t="shared" si="3"/>
        <v>81.666666666666671</v>
      </c>
    </row>
    <row r="18" spans="1:18" x14ac:dyDescent="0.25">
      <c r="A18" s="7">
        <v>16</v>
      </c>
      <c r="B18" s="5">
        <v>45763</v>
      </c>
      <c r="C18" s="2" t="s">
        <v>21</v>
      </c>
      <c r="D18" s="2">
        <v>444700</v>
      </c>
      <c r="E18" s="2">
        <v>427600</v>
      </c>
      <c r="F18" s="2">
        <v>58215</v>
      </c>
      <c r="G18" s="2">
        <v>5820</v>
      </c>
      <c r="H18" s="2">
        <v>602115</v>
      </c>
      <c r="I18" s="2">
        <v>61671.6</v>
      </c>
      <c r="J18" s="2">
        <v>55147</v>
      </c>
      <c r="K18" s="2">
        <v>30285.8</v>
      </c>
      <c r="L18" s="4">
        <v>31500</v>
      </c>
      <c r="M18" s="4">
        <v>39185.800000000003</v>
      </c>
      <c r="N18" s="4">
        <f t="shared" si="0"/>
        <v>727438</v>
      </c>
      <c r="O18" s="4">
        <f t="shared" si="1"/>
        <v>814085</v>
      </c>
      <c r="P18" s="4">
        <f t="shared" si="2"/>
        <v>447746.75000000006</v>
      </c>
      <c r="Q18" s="12">
        <f t="shared" si="3"/>
        <v>84.223484848484858</v>
      </c>
      <c r="R18" s="31">
        <f t="shared" si="3"/>
        <v>80.984848484848484</v>
      </c>
    </row>
    <row r="19" spans="1:18" x14ac:dyDescent="0.25">
      <c r="A19" s="7">
        <v>17</v>
      </c>
      <c r="B19" s="5">
        <v>45764</v>
      </c>
      <c r="C19" s="2" t="s">
        <v>21</v>
      </c>
      <c r="D19" s="2">
        <v>475900</v>
      </c>
      <c r="E19" s="2">
        <v>421900</v>
      </c>
      <c r="F19" s="2">
        <v>44030</v>
      </c>
      <c r="G19" s="2">
        <v>7460</v>
      </c>
      <c r="H19" s="2">
        <v>624736</v>
      </c>
      <c r="I19" s="2">
        <v>78345.399999999994</v>
      </c>
      <c r="J19" s="2">
        <v>58803</v>
      </c>
      <c r="K19" s="2">
        <v>29872.7</v>
      </c>
      <c r="L19" s="4">
        <v>31300</v>
      </c>
      <c r="M19" s="4">
        <v>38172.699999999997</v>
      </c>
      <c r="N19" s="4">
        <f t="shared" si="0"/>
        <v>763667</v>
      </c>
      <c r="O19" s="4">
        <f t="shared" si="1"/>
        <v>853770</v>
      </c>
      <c r="P19" s="4">
        <f t="shared" si="2"/>
        <v>469573.50000000006</v>
      </c>
      <c r="Q19" s="12">
        <f t="shared" si="3"/>
        <v>90.132575757575765</v>
      </c>
      <c r="R19" s="31">
        <f t="shared" si="3"/>
        <v>79.905303030303031</v>
      </c>
    </row>
    <row r="20" spans="1:18" x14ac:dyDescent="0.25">
      <c r="A20" s="7">
        <v>18</v>
      </c>
      <c r="B20" s="5">
        <v>45765</v>
      </c>
      <c r="C20" s="2" t="s">
        <v>21</v>
      </c>
      <c r="D20" s="2">
        <v>430100</v>
      </c>
      <c r="E20" s="2">
        <v>388800</v>
      </c>
      <c r="F20" s="2">
        <v>53925</v>
      </c>
      <c r="G20" s="2">
        <v>8195</v>
      </c>
      <c r="H20" s="2">
        <v>548665</v>
      </c>
      <c r="I20" s="2">
        <v>77321.600000000006</v>
      </c>
      <c r="J20" s="2">
        <v>53862</v>
      </c>
      <c r="K20" s="2">
        <v>28410.799999999999</v>
      </c>
      <c r="L20" s="4">
        <v>29000</v>
      </c>
      <c r="M20" s="4">
        <v>35910.800000000003</v>
      </c>
      <c r="N20" s="4">
        <f t="shared" si="0"/>
        <v>682113</v>
      </c>
      <c r="O20" s="4">
        <f t="shared" si="1"/>
        <v>764975</v>
      </c>
      <c r="P20" s="4">
        <f t="shared" si="2"/>
        <v>420736.25000000006</v>
      </c>
      <c r="Q20" s="12">
        <f t="shared" si="3"/>
        <v>81.458333333333329</v>
      </c>
      <c r="R20" s="31">
        <f t="shared" si="3"/>
        <v>73.636363636363626</v>
      </c>
    </row>
    <row r="21" spans="1:18" x14ac:dyDescent="0.25">
      <c r="A21" s="7">
        <v>19</v>
      </c>
      <c r="B21" s="5">
        <v>45766</v>
      </c>
      <c r="C21" s="2" t="s">
        <v>21</v>
      </c>
      <c r="D21" s="2">
        <v>467700</v>
      </c>
      <c r="E21" s="2">
        <v>419300</v>
      </c>
      <c r="F21" s="2">
        <v>63750</v>
      </c>
      <c r="G21" s="2">
        <v>3610</v>
      </c>
      <c r="H21" s="2">
        <v>590430</v>
      </c>
      <c r="I21" s="2">
        <v>76943.199999999997</v>
      </c>
      <c r="J21" s="2">
        <v>57644</v>
      </c>
      <c r="K21" s="2">
        <v>32721.599999999999</v>
      </c>
      <c r="L21" s="4">
        <v>31700</v>
      </c>
      <c r="M21" s="4">
        <v>37421.599999999999</v>
      </c>
      <c r="N21" s="4">
        <f t="shared" si="0"/>
        <v>733906</v>
      </c>
      <c r="O21" s="4">
        <f t="shared" si="1"/>
        <v>823250</v>
      </c>
      <c r="P21" s="4">
        <f t="shared" si="2"/>
        <v>452787.50000000006</v>
      </c>
      <c r="Q21" s="12">
        <f t="shared" si="3"/>
        <v>88.579545454545453</v>
      </c>
      <c r="R21" s="31">
        <f t="shared" si="3"/>
        <v>79.412878787878796</v>
      </c>
    </row>
    <row r="22" spans="1:18" x14ac:dyDescent="0.25">
      <c r="A22" s="7">
        <v>20</v>
      </c>
      <c r="B22" s="5">
        <v>45767</v>
      </c>
      <c r="C22" s="2" t="s">
        <v>21</v>
      </c>
      <c r="D22" s="2">
        <v>477400</v>
      </c>
      <c r="E22" s="2">
        <v>422200</v>
      </c>
      <c r="F22" s="2">
        <v>45005</v>
      </c>
      <c r="G22" s="2">
        <v>10745</v>
      </c>
      <c r="H22" s="2">
        <v>617383.80000000005</v>
      </c>
      <c r="I22" s="2">
        <v>88194.6</v>
      </c>
      <c r="J22" s="2">
        <v>57467</v>
      </c>
      <c r="K22" s="2">
        <v>32897.300000000003</v>
      </c>
      <c r="L22" s="4">
        <v>31100</v>
      </c>
      <c r="M22" s="4">
        <v>38297.300000000003</v>
      </c>
      <c r="N22" s="4">
        <f t="shared" si="0"/>
        <v>766028</v>
      </c>
      <c r="O22" s="4">
        <f t="shared" si="1"/>
        <v>854595</v>
      </c>
      <c r="P22" s="4">
        <f t="shared" si="2"/>
        <v>470027.25000000006</v>
      </c>
      <c r="Q22" s="12">
        <f t="shared" si="3"/>
        <v>90.416666666666671</v>
      </c>
      <c r="R22" s="31">
        <f t="shared" si="3"/>
        <v>79.962121212121204</v>
      </c>
    </row>
    <row r="23" spans="1:18" x14ac:dyDescent="0.25">
      <c r="A23" s="7">
        <v>21</v>
      </c>
      <c r="B23" s="5">
        <v>45768</v>
      </c>
      <c r="C23" s="2" t="s">
        <v>21</v>
      </c>
      <c r="D23" s="2">
        <v>506900</v>
      </c>
      <c r="E23" s="2">
        <v>404700</v>
      </c>
      <c r="F23" s="2">
        <v>50575</v>
      </c>
      <c r="G23" s="2">
        <v>9785</v>
      </c>
      <c r="H23" s="2">
        <v>625621.80000000005</v>
      </c>
      <c r="I23" s="2">
        <v>83040.600000000006</v>
      </c>
      <c r="J23" s="2">
        <v>58607</v>
      </c>
      <c r="K23" s="2">
        <v>33370.300000000003</v>
      </c>
      <c r="L23" s="4">
        <v>32100</v>
      </c>
      <c r="M23" s="4">
        <v>38070.300000000003</v>
      </c>
      <c r="N23" s="4">
        <f t="shared" si="0"/>
        <v>770318</v>
      </c>
      <c r="O23" s="4">
        <f t="shared" si="1"/>
        <v>861025</v>
      </c>
      <c r="P23" s="4">
        <f t="shared" si="2"/>
        <v>473563.75000000006</v>
      </c>
      <c r="Q23" s="12">
        <f t="shared" si="3"/>
        <v>96.00378787878789</v>
      </c>
      <c r="R23" s="31">
        <f t="shared" si="3"/>
        <v>76.647727272727266</v>
      </c>
    </row>
    <row r="24" spans="1:18" x14ac:dyDescent="0.25">
      <c r="A24" s="7">
        <v>22</v>
      </c>
      <c r="B24" s="5">
        <v>45769</v>
      </c>
      <c r="C24" s="2" t="s">
        <v>21</v>
      </c>
      <c r="D24" s="2">
        <v>478100</v>
      </c>
      <c r="E24" s="2">
        <v>422000</v>
      </c>
      <c r="F24" s="2">
        <v>56905</v>
      </c>
      <c r="G24" s="2">
        <v>5955</v>
      </c>
      <c r="H24" s="2">
        <v>614558.80000000005</v>
      </c>
      <c r="I24" s="2">
        <v>72319.600000000006</v>
      </c>
      <c r="J24" s="2">
        <v>57052</v>
      </c>
      <c r="K24" s="2">
        <v>34159.800000000003</v>
      </c>
      <c r="L24" s="4">
        <v>31900</v>
      </c>
      <c r="M24" s="4">
        <v>39159.800000000003</v>
      </c>
      <c r="N24" s="4">
        <f t="shared" si="0"/>
        <v>754243</v>
      </c>
      <c r="O24" s="4">
        <f t="shared" si="1"/>
        <v>843195</v>
      </c>
      <c r="P24" s="4">
        <f t="shared" si="2"/>
        <v>463757.25000000006</v>
      </c>
      <c r="Q24" s="12">
        <f t="shared" si="3"/>
        <v>90.549242424242422</v>
      </c>
      <c r="R24" s="31">
        <f t="shared" si="3"/>
        <v>79.924242424242422</v>
      </c>
    </row>
    <row r="25" spans="1:18" x14ac:dyDescent="0.25">
      <c r="A25" s="7">
        <v>23</v>
      </c>
      <c r="B25" s="5">
        <v>45770</v>
      </c>
      <c r="C25" s="2" t="s">
        <v>21</v>
      </c>
      <c r="D25" s="2">
        <v>466200</v>
      </c>
      <c r="E25" s="2">
        <v>400600</v>
      </c>
      <c r="F25" s="2">
        <v>62605</v>
      </c>
      <c r="G25" s="2">
        <v>3895</v>
      </c>
      <c r="H25" s="2">
        <v>595903.4</v>
      </c>
      <c r="I25" s="2">
        <v>55367.8</v>
      </c>
      <c r="J25" s="2">
        <v>55651</v>
      </c>
      <c r="K25" s="2">
        <v>33283.9</v>
      </c>
      <c r="L25" s="4">
        <v>30700</v>
      </c>
      <c r="M25" s="4">
        <v>37183.9</v>
      </c>
      <c r="N25" s="4">
        <f t="shared" si="0"/>
        <v>717844</v>
      </c>
      <c r="O25" s="4">
        <f t="shared" si="1"/>
        <v>804195</v>
      </c>
      <c r="P25" s="4">
        <f t="shared" si="2"/>
        <v>442307.25000000006</v>
      </c>
      <c r="Q25" s="12">
        <f t="shared" si="3"/>
        <v>88.295454545454547</v>
      </c>
      <c r="R25" s="31">
        <f t="shared" si="3"/>
        <v>75.87121212121211</v>
      </c>
    </row>
    <row r="26" spans="1:18" x14ac:dyDescent="0.25">
      <c r="A26" s="7">
        <v>24</v>
      </c>
      <c r="B26" s="5">
        <v>45771</v>
      </c>
      <c r="C26" s="2" t="s">
        <v>21</v>
      </c>
      <c r="D26" s="2">
        <v>497000</v>
      </c>
      <c r="E26" s="2">
        <v>389600</v>
      </c>
      <c r="F26" s="2">
        <v>37790</v>
      </c>
      <c r="G26" s="2">
        <v>11930</v>
      </c>
      <c r="H26" s="2">
        <v>625873.6</v>
      </c>
      <c r="I26" s="2">
        <v>78191.199999999997</v>
      </c>
      <c r="J26" s="2">
        <v>57184</v>
      </c>
      <c r="K26" s="2">
        <v>31745.599999999999</v>
      </c>
      <c r="L26" s="4">
        <v>30500</v>
      </c>
      <c r="M26" s="4">
        <v>37245.599999999999</v>
      </c>
      <c r="N26" s="4">
        <f t="shared" si="0"/>
        <v>761126</v>
      </c>
      <c r="O26" s="4">
        <f t="shared" si="1"/>
        <v>848810</v>
      </c>
      <c r="P26" s="4">
        <f t="shared" si="2"/>
        <v>466845.50000000006</v>
      </c>
      <c r="Q26" s="12">
        <f t="shared" si="3"/>
        <v>94.128787878787875</v>
      </c>
      <c r="R26" s="31">
        <f t="shared" si="3"/>
        <v>73.787878787878796</v>
      </c>
    </row>
    <row r="27" spans="1:18" x14ac:dyDescent="0.25">
      <c r="A27" s="7">
        <v>25</v>
      </c>
      <c r="B27" s="5">
        <v>45772</v>
      </c>
      <c r="C27" s="2" t="s">
        <v>21</v>
      </c>
      <c r="D27" s="2">
        <v>486000</v>
      </c>
      <c r="E27" s="2">
        <v>410000</v>
      </c>
      <c r="F27" s="2">
        <v>47995</v>
      </c>
      <c r="G27" s="2">
        <v>10345</v>
      </c>
      <c r="H27" s="2">
        <v>613169.80000000005</v>
      </c>
      <c r="I27" s="2">
        <v>82656.600000000006</v>
      </c>
      <c r="J27" s="2">
        <v>57867</v>
      </c>
      <c r="K27" s="2">
        <v>33428.300000000003</v>
      </c>
      <c r="L27" s="4">
        <v>31900</v>
      </c>
      <c r="M27" s="4">
        <v>39328.300000000003</v>
      </c>
      <c r="N27" s="4">
        <f t="shared" si="0"/>
        <v>758238</v>
      </c>
      <c r="O27" s="4">
        <f t="shared" si="1"/>
        <v>848005</v>
      </c>
      <c r="P27" s="4">
        <f t="shared" si="2"/>
        <v>466402.75000000006</v>
      </c>
      <c r="Q27" s="12">
        <f t="shared" si="3"/>
        <v>92.045454545454547</v>
      </c>
      <c r="R27" s="31">
        <f t="shared" si="3"/>
        <v>77.651515151515156</v>
      </c>
    </row>
    <row r="28" spans="1:18" x14ac:dyDescent="0.25">
      <c r="A28" s="7">
        <v>26</v>
      </c>
      <c r="B28" s="5">
        <v>45773</v>
      </c>
      <c r="C28" s="2" t="s">
        <v>21</v>
      </c>
      <c r="D28" s="2">
        <v>485600</v>
      </c>
      <c r="E28" s="2">
        <v>427900</v>
      </c>
      <c r="F28" s="2">
        <v>51490</v>
      </c>
      <c r="G28" s="2">
        <v>8250</v>
      </c>
      <c r="H28" s="2">
        <v>616702</v>
      </c>
      <c r="I28" s="2">
        <v>91934</v>
      </c>
      <c r="J28" s="2">
        <v>55890</v>
      </c>
      <c r="K28" s="2">
        <v>34417</v>
      </c>
      <c r="L28" s="4">
        <v>31700</v>
      </c>
      <c r="M28" s="4">
        <v>39617</v>
      </c>
      <c r="N28" s="4">
        <f t="shared" si="0"/>
        <v>774420</v>
      </c>
      <c r="O28" s="4">
        <f t="shared" si="1"/>
        <v>862010</v>
      </c>
      <c r="P28" s="4">
        <f t="shared" si="2"/>
        <v>474105.50000000006</v>
      </c>
      <c r="Q28" s="12">
        <f t="shared" si="3"/>
        <v>91.969696969696969</v>
      </c>
      <c r="R28" s="31">
        <f t="shared" si="3"/>
        <v>81.041666666666671</v>
      </c>
    </row>
    <row r="29" spans="1:18" x14ac:dyDescent="0.25">
      <c r="A29" s="7">
        <v>27</v>
      </c>
      <c r="B29" s="5">
        <v>45774</v>
      </c>
      <c r="C29" s="2" t="s">
        <v>21</v>
      </c>
      <c r="D29" s="2">
        <v>478000</v>
      </c>
      <c r="E29" s="2">
        <v>429300</v>
      </c>
      <c r="F29" s="2">
        <v>54935</v>
      </c>
      <c r="G29" s="2">
        <v>4700</v>
      </c>
      <c r="H29" s="2">
        <v>621258</v>
      </c>
      <c r="I29" s="2">
        <v>79986</v>
      </c>
      <c r="J29" s="2">
        <v>54435</v>
      </c>
      <c r="K29" s="2">
        <v>33393</v>
      </c>
      <c r="L29" s="4">
        <v>28700</v>
      </c>
      <c r="M29" s="4">
        <v>39293</v>
      </c>
      <c r="N29" s="4">
        <f t="shared" si="0"/>
        <v>769230</v>
      </c>
      <c r="O29" s="4">
        <f t="shared" si="1"/>
        <v>852365</v>
      </c>
      <c r="P29" s="4">
        <f t="shared" si="2"/>
        <v>468800.75000000006</v>
      </c>
      <c r="Q29" s="12">
        <f t="shared" si="3"/>
        <v>90.530303030303031</v>
      </c>
      <c r="R29" s="31">
        <f t="shared" si="3"/>
        <v>81.306818181818187</v>
      </c>
    </row>
    <row r="30" spans="1:18" s="19" customFormat="1" x14ac:dyDescent="0.25">
      <c r="A30" s="33">
        <v>28</v>
      </c>
      <c r="B30" s="5">
        <v>45775</v>
      </c>
      <c r="C30" s="33" t="s">
        <v>21</v>
      </c>
      <c r="D30" s="33">
        <v>500800</v>
      </c>
      <c r="E30" s="33">
        <v>427400</v>
      </c>
      <c r="F30" s="33">
        <v>61295</v>
      </c>
      <c r="G30" s="33">
        <v>5910</v>
      </c>
      <c r="H30" s="33">
        <v>627855</v>
      </c>
      <c r="I30" s="33">
        <v>83985</v>
      </c>
      <c r="J30" s="33">
        <v>56490</v>
      </c>
      <c r="K30" s="33">
        <v>34392.5</v>
      </c>
      <c r="L30" s="35">
        <v>31100</v>
      </c>
      <c r="M30" s="36">
        <v>38992.5</v>
      </c>
      <c r="N30" s="36">
        <f t="shared" si="0"/>
        <v>779315</v>
      </c>
      <c r="O30" s="36">
        <f t="shared" si="1"/>
        <v>866905</v>
      </c>
      <c r="P30" s="36">
        <f t="shared" si="2"/>
        <v>476797.75000000006</v>
      </c>
      <c r="Q30" s="37">
        <f t="shared" si="3"/>
        <v>94.848484848484844</v>
      </c>
      <c r="R30" s="38">
        <f t="shared" si="3"/>
        <v>80.946969696969688</v>
      </c>
    </row>
    <row r="31" spans="1:18" x14ac:dyDescent="0.25">
      <c r="A31" s="7">
        <v>29</v>
      </c>
      <c r="B31" s="5">
        <v>45776</v>
      </c>
      <c r="C31" s="2" t="s">
        <v>21</v>
      </c>
      <c r="D31" s="2">
        <v>489400</v>
      </c>
      <c r="E31" s="2">
        <v>428200</v>
      </c>
      <c r="F31" s="2">
        <v>70405</v>
      </c>
      <c r="G31" s="2">
        <v>220</v>
      </c>
      <c r="H31" s="2">
        <v>622909.19999999995</v>
      </c>
      <c r="I31" s="2">
        <v>66136.399999999994</v>
      </c>
      <c r="J31" s="2">
        <v>54533</v>
      </c>
      <c r="K31" s="2">
        <v>34168.199999999997</v>
      </c>
      <c r="L31" s="4">
        <v>30600</v>
      </c>
      <c r="M31" s="4">
        <v>39068.199999999997</v>
      </c>
      <c r="N31" s="4">
        <f t="shared" si="0"/>
        <v>762062</v>
      </c>
      <c r="O31" s="4">
        <f t="shared" si="1"/>
        <v>847195</v>
      </c>
      <c r="P31" s="4">
        <f>O31*0.55</f>
        <v>465957.25000000006</v>
      </c>
      <c r="Q31" s="12">
        <f>(D31/528000)*100</f>
        <v>92.689393939393938</v>
      </c>
      <c r="R31" s="31">
        <f t="shared" ref="R31:R33" si="4">(E31/528000)*100</f>
        <v>81.098484848484858</v>
      </c>
    </row>
    <row r="32" spans="1:18" x14ac:dyDescent="0.25">
      <c r="A32" s="7">
        <v>30</v>
      </c>
      <c r="B32" s="5">
        <v>45777</v>
      </c>
      <c r="C32" s="2" t="s">
        <v>21</v>
      </c>
      <c r="D32" s="2">
        <v>486900</v>
      </c>
      <c r="E32" s="2">
        <v>411300</v>
      </c>
      <c r="F32" s="2">
        <v>50340</v>
      </c>
      <c r="G32" s="2">
        <v>1200</v>
      </c>
      <c r="H32" s="2">
        <v>615732.6</v>
      </c>
      <c r="I32" s="2">
        <v>73544.2</v>
      </c>
      <c r="J32" s="2">
        <v>58739</v>
      </c>
      <c r="K32" s="2">
        <v>31972.1</v>
      </c>
      <c r="L32" s="4">
        <v>30400</v>
      </c>
      <c r="M32" s="4">
        <v>38672.1</v>
      </c>
      <c r="N32" s="4">
        <f t="shared" si="0"/>
        <v>758721</v>
      </c>
      <c r="O32" s="4">
        <f t="shared" si="1"/>
        <v>847860</v>
      </c>
      <c r="P32" s="4">
        <f>O32*0.55</f>
        <v>466323.00000000006</v>
      </c>
      <c r="Q32" s="12">
        <f>(D32/528000)*100</f>
        <v>92.215909090909093</v>
      </c>
      <c r="R32" s="31">
        <f t="shared" si="4"/>
        <v>77.897727272727266</v>
      </c>
    </row>
    <row r="33" spans="1:18" x14ac:dyDescent="0.25">
      <c r="A33" s="7">
        <v>31</v>
      </c>
      <c r="B33" s="5"/>
      <c r="C33" s="2" t="s">
        <v>21</v>
      </c>
      <c r="D33" s="2"/>
      <c r="E33" s="2"/>
      <c r="F33" s="2"/>
      <c r="G33" s="2"/>
      <c r="H33" s="2"/>
      <c r="I33" s="2"/>
      <c r="J33" s="2"/>
      <c r="K33" s="2"/>
      <c r="L33" s="4"/>
      <c r="M33" s="4"/>
      <c r="N33" s="4">
        <f t="shared" si="0"/>
        <v>0</v>
      </c>
      <c r="O33" s="4">
        <f t="shared" si="1"/>
        <v>0</v>
      </c>
      <c r="P33" s="4">
        <f>O33*0.55</f>
        <v>0</v>
      </c>
      <c r="Q33" s="12">
        <f>(D33/528000)*100</f>
        <v>0</v>
      </c>
      <c r="R33" s="31">
        <f t="shared" si="4"/>
        <v>0</v>
      </c>
    </row>
    <row r="34" spans="1:18" x14ac:dyDescent="0.25">
      <c r="A34" s="2"/>
      <c r="B34" s="2"/>
      <c r="C34" s="8" t="s">
        <v>15</v>
      </c>
      <c r="D34" s="8">
        <f t="shared" ref="D34:P34" si="5">SUM(D3:D33)</f>
        <v>14473400</v>
      </c>
      <c r="E34" s="8">
        <f>SUM(E3:E33)</f>
        <v>12240500</v>
      </c>
      <c r="F34" s="8">
        <f t="shared" si="5"/>
        <v>1719440</v>
      </c>
      <c r="G34" s="8">
        <f t="shared" si="5"/>
        <v>244715</v>
      </c>
      <c r="H34" s="8">
        <f t="shared" si="5"/>
        <v>18246492.000000004</v>
      </c>
      <c r="I34" s="23">
        <f>SUM(I3:I33)</f>
        <v>2329864.0000000005</v>
      </c>
      <c r="J34" s="8">
        <f t="shared" si="5"/>
        <v>1692055</v>
      </c>
      <c r="K34" s="8">
        <f t="shared" si="5"/>
        <v>954882.00000000012</v>
      </c>
      <c r="L34" s="8">
        <f>SUM(L3:L33)</f>
        <v>905100</v>
      </c>
      <c r="M34" s="8">
        <f>SUM(M3:M33)</f>
        <v>1110782.0000000005</v>
      </c>
      <c r="N34" s="8">
        <f t="shared" si="5"/>
        <v>22397305</v>
      </c>
      <c r="O34" s="8">
        <f t="shared" si="5"/>
        <v>24994460</v>
      </c>
      <c r="P34" s="8">
        <f t="shared" si="5"/>
        <v>13746953.000000002</v>
      </c>
      <c r="Q34" s="13">
        <f>SUM(Q3:Q32)/30</f>
        <v>91.372474747474769</v>
      </c>
      <c r="R34" s="13">
        <f>SUM(R3:R33)/30</f>
        <v>77.275883838383848</v>
      </c>
    </row>
    <row r="35" spans="1:18" x14ac:dyDescent="0.25">
      <c r="A35" s="2"/>
      <c r="B35" s="2"/>
      <c r="C35" s="8" t="s">
        <v>16</v>
      </c>
      <c r="D35" s="2">
        <v>14473400</v>
      </c>
      <c r="E35" s="2">
        <v>12235900</v>
      </c>
      <c r="F35" s="2">
        <v>1714529</v>
      </c>
      <c r="G35" s="2">
        <v>260520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x14ac:dyDescent="0.25">
      <c r="A36" s="2"/>
      <c r="B36" s="2"/>
      <c r="C36" s="8" t="s">
        <v>17</v>
      </c>
      <c r="D36" s="2">
        <f>D34-D35</f>
        <v>0</v>
      </c>
      <c r="E36" s="2"/>
      <c r="F36" s="2"/>
      <c r="G36" s="2"/>
      <c r="H36" s="63">
        <v>16116</v>
      </c>
      <c r="I36" s="64"/>
      <c r="J36" s="64"/>
      <c r="K36" s="64"/>
      <c r="L36" s="64"/>
      <c r="M36" s="65"/>
      <c r="N36" s="2"/>
      <c r="O36" s="2"/>
      <c r="P36" s="2"/>
      <c r="Q36" s="2"/>
      <c r="R36" s="2"/>
    </row>
    <row r="37" spans="1:18" x14ac:dyDescent="0.25">
      <c r="A37" s="2"/>
      <c r="B37" s="2"/>
      <c r="C37" s="8" t="s">
        <v>18</v>
      </c>
      <c r="D37" s="2"/>
      <c r="E37" s="2"/>
      <c r="F37" s="2"/>
      <c r="G37" s="2"/>
      <c r="H37" s="39">
        <v>18254550</v>
      </c>
      <c r="I37" s="39">
        <v>2333087.2000000002</v>
      </c>
      <c r="J37" s="39"/>
      <c r="K37" s="39">
        <v>957299.4</v>
      </c>
      <c r="L37" s="39"/>
      <c r="M37" s="39">
        <v>1113199.3999999999</v>
      </c>
      <c r="N37" s="2"/>
      <c r="O37" s="2"/>
      <c r="P37" s="2"/>
      <c r="Q37" s="2"/>
      <c r="R37" s="2"/>
    </row>
    <row r="38" spans="1:18" x14ac:dyDescent="0.25">
      <c r="A38" s="2"/>
      <c r="B38" s="2"/>
      <c r="C38" s="8" t="s">
        <v>19</v>
      </c>
      <c r="D38" s="2">
        <v>623729.19999999995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 x14ac:dyDescent="0.25">
      <c r="A39" s="2"/>
      <c r="B39" s="2"/>
      <c r="C39" s="8" t="s">
        <v>20</v>
      </c>
      <c r="D39" s="2">
        <v>638202.6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 x14ac:dyDescent="0.25">
      <c r="A40" s="1"/>
      <c r="B40" s="1"/>
      <c r="C40" s="1"/>
      <c r="D40" s="1">
        <f>D39-D38</f>
        <v>14473.400000000023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x14ac:dyDescent="0.25">
      <c r="A42" s="1"/>
      <c r="B42" s="1"/>
      <c r="C42" s="1"/>
      <c r="D42" s="1"/>
      <c r="E42" s="1"/>
      <c r="F42" s="1"/>
      <c r="G42" s="1"/>
      <c r="H42" s="1"/>
      <c r="I42" s="24"/>
      <c r="J42" s="1"/>
      <c r="K42" s="1"/>
      <c r="L42" s="1"/>
      <c r="M42" s="1"/>
      <c r="N42" s="1"/>
      <c r="O42" s="1"/>
      <c r="P42" s="1"/>
      <c r="Q42" s="1"/>
      <c r="R42" s="1"/>
    </row>
    <row r="43" spans="1:18" x14ac:dyDescent="0.25">
      <c r="A43" s="1"/>
      <c r="B43" s="1"/>
      <c r="C43" s="1"/>
      <c r="D43" s="1"/>
      <c r="E43" s="1"/>
      <c r="F43" s="1"/>
      <c r="G43" s="24"/>
      <c r="H43" s="1"/>
      <c r="I43" s="20"/>
      <c r="J43" s="1"/>
      <c r="K43" s="1"/>
      <c r="L43" s="1"/>
      <c r="M43" s="1"/>
      <c r="N43" s="1"/>
      <c r="O43" s="1"/>
      <c r="P43" s="1"/>
      <c r="Q43" s="1"/>
      <c r="R43" s="1"/>
    </row>
    <row r="44" spans="1:18" x14ac:dyDescent="0.25">
      <c r="A44" s="1"/>
      <c r="B44" s="1"/>
      <c r="C44" s="1"/>
      <c r="D44" s="1"/>
      <c r="E44" s="1"/>
      <c r="F44" s="1"/>
      <c r="G44" s="1"/>
      <c r="H44" s="1"/>
      <c r="I44" s="32"/>
      <c r="J44" s="1"/>
      <c r="K44" s="1"/>
      <c r="L44" s="1"/>
      <c r="M44" s="1"/>
      <c r="N44" s="1"/>
      <c r="O44" s="1"/>
      <c r="P44" s="1"/>
      <c r="Q44" s="1"/>
      <c r="R44" s="1"/>
    </row>
    <row r="45" spans="1:18" x14ac:dyDescent="0.25">
      <c r="A45" s="1"/>
      <c r="B45" s="1"/>
      <c r="C45" s="1"/>
      <c r="D45" s="1"/>
      <c r="E45" s="1"/>
      <c r="F45" s="1"/>
      <c r="G45" s="1"/>
      <c r="H45" s="1"/>
      <c r="I45" s="32"/>
      <c r="J45" s="1"/>
      <c r="K45" s="1"/>
      <c r="L45" s="1"/>
      <c r="M45" s="1"/>
      <c r="N45" s="1"/>
      <c r="O45" s="1"/>
      <c r="P45" s="1"/>
      <c r="Q45" s="1"/>
      <c r="R45" s="1"/>
    </row>
    <row r="46" spans="1:18" x14ac:dyDescent="0.25">
      <c r="A46" s="1"/>
      <c r="B46" s="1"/>
      <c r="C46" s="1"/>
      <c r="D46" s="1"/>
      <c r="E46" s="1"/>
      <c r="F46" s="1"/>
      <c r="G46" s="1"/>
      <c r="H46" s="1"/>
      <c r="I46" s="32"/>
      <c r="J46" s="1"/>
      <c r="K46" s="1"/>
      <c r="L46" s="1"/>
      <c r="M46" s="1"/>
      <c r="N46" s="1"/>
      <c r="O46" s="1"/>
      <c r="P46" s="1"/>
      <c r="Q46" s="1"/>
      <c r="R46" s="1"/>
    </row>
    <row r="47" spans="1:18" x14ac:dyDescent="0.25">
      <c r="A47" s="1"/>
      <c r="B47" s="1"/>
      <c r="C47" s="1"/>
      <c r="D47" s="1"/>
      <c r="E47" s="1"/>
      <c r="F47" s="1"/>
      <c r="G47" s="1"/>
      <c r="H47" s="1"/>
      <c r="I47" s="32"/>
      <c r="J47" s="1"/>
      <c r="K47" s="1"/>
      <c r="L47" s="1"/>
      <c r="M47" s="1"/>
      <c r="N47" s="1"/>
      <c r="O47" s="1"/>
      <c r="P47" s="1"/>
      <c r="Q47" s="1"/>
      <c r="R47" s="1"/>
    </row>
    <row r="48" spans="1:18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</sheetData>
  <mergeCells count="2">
    <mergeCell ref="A1:R1"/>
    <mergeCell ref="H36:M36"/>
  </mergeCells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49"/>
  <sheetViews>
    <sheetView topLeftCell="A10" zoomScaleNormal="100" workbookViewId="0">
      <selection activeCell="I37" sqref="I37"/>
    </sheetView>
  </sheetViews>
  <sheetFormatPr defaultRowHeight="15" x14ac:dyDescent="0.25"/>
  <cols>
    <col min="1" max="1" width="5.5703125" bestFit="1" customWidth="1"/>
    <col min="2" max="2" width="10.140625" customWidth="1"/>
    <col min="3" max="3" width="18" customWidth="1"/>
    <col min="4" max="5" width="10.42578125" customWidth="1"/>
    <col min="6" max="6" width="8.85546875" customWidth="1"/>
    <col min="7" max="7" width="11.42578125" customWidth="1"/>
    <col min="8" max="8" width="12.7109375" customWidth="1"/>
    <col min="9" max="9" width="11" customWidth="1"/>
    <col min="10" max="10" width="8.28515625" customWidth="1"/>
    <col min="11" max="11" width="9.85546875" customWidth="1"/>
    <col min="12" max="12" width="10.140625" customWidth="1"/>
    <col min="13" max="13" width="8" customWidth="1"/>
    <col min="14" max="14" width="8.7109375" customWidth="1"/>
    <col min="15" max="15" width="13" customWidth="1"/>
    <col min="16" max="16" width="11.5703125" bestFit="1" customWidth="1"/>
    <col min="17" max="17" width="7.42578125" customWidth="1"/>
    <col min="18" max="18" width="9" customWidth="1"/>
  </cols>
  <sheetData>
    <row r="1" spans="1:20" ht="40.5" customHeight="1" thickBot="1" x14ac:dyDescent="0.3">
      <c r="A1" s="66" t="s">
        <v>62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</row>
    <row r="2" spans="1:20" ht="51.75" customHeight="1" thickBot="1" x14ac:dyDescent="0.3">
      <c r="A2" s="9" t="s">
        <v>0</v>
      </c>
      <c r="B2" s="10" t="s">
        <v>1</v>
      </c>
      <c r="C2" s="10" t="s">
        <v>2</v>
      </c>
      <c r="D2" s="21" t="s">
        <v>56</v>
      </c>
      <c r="E2" s="21" t="s">
        <v>57</v>
      </c>
      <c r="F2" s="21" t="s">
        <v>4</v>
      </c>
      <c r="G2" s="21" t="s">
        <v>5</v>
      </c>
      <c r="H2" s="21" t="s">
        <v>6</v>
      </c>
      <c r="I2" s="21" t="s">
        <v>7</v>
      </c>
      <c r="J2" s="21" t="s">
        <v>8</v>
      </c>
      <c r="K2" s="21" t="s">
        <v>9</v>
      </c>
      <c r="L2" s="21" t="s">
        <v>24</v>
      </c>
      <c r="M2" s="21" t="s">
        <v>23</v>
      </c>
      <c r="N2" s="21" t="s">
        <v>10</v>
      </c>
      <c r="O2" s="21" t="s">
        <v>11</v>
      </c>
      <c r="P2" s="10" t="s">
        <v>12</v>
      </c>
      <c r="Q2" s="29" t="s">
        <v>54</v>
      </c>
      <c r="R2" s="30" t="s">
        <v>55</v>
      </c>
    </row>
    <row r="3" spans="1:20" x14ac:dyDescent="0.25">
      <c r="A3" s="6">
        <v>1</v>
      </c>
      <c r="B3" s="5">
        <v>45717</v>
      </c>
      <c r="C3" s="4" t="s">
        <v>21</v>
      </c>
      <c r="D3" s="4">
        <v>492000</v>
      </c>
      <c r="E3" s="4">
        <v>0</v>
      </c>
      <c r="F3" s="4">
        <v>2040</v>
      </c>
      <c r="G3" s="4">
        <v>138095</v>
      </c>
      <c r="H3" s="4">
        <v>502848.4</v>
      </c>
      <c r="I3" s="4">
        <v>38034.6</v>
      </c>
      <c r="J3" s="4">
        <v>57037</v>
      </c>
      <c r="K3" s="4">
        <v>30135</v>
      </c>
      <c r="L3" s="4">
        <v>0</v>
      </c>
      <c r="M3" s="4">
        <v>0</v>
      </c>
      <c r="N3" s="4">
        <f>(D3+E3)-F3-J3-L3</f>
        <v>432923</v>
      </c>
      <c r="O3" s="4">
        <f>(D3+E3)-F3</f>
        <v>489960</v>
      </c>
      <c r="P3" s="4">
        <f>O3*0.55</f>
        <v>269478</v>
      </c>
      <c r="Q3" s="12">
        <f>(D3/528000)*100</f>
        <v>93.181818181818173</v>
      </c>
      <c r="R3" s="31">
        <f>(E3/528000)*100</f>
        <v>0</v>
      </c>
      <c r="S3">
        <f>(D3+E3+G3)-(F3+H3+I3+J3+K3+L3+M3)</f>
        <v>0</v>
      </c>
    </row>
    <row r="4" spans="1:20" x14ac:dyDescent="0.25">
      <c r="A4" s="7">
        <v>2</v>
      </c>
      <c r="B4" s="5">
        <v>45718</v>
      </c>
      <c r="C4" s="2" t="s">
        <v>21</v>
      </c>
      <c r="D4" s="2">
        <v>474500</v>
      </c>
      <c r="E4" s="2">
        <v>0</v>
      </c>
      <c r="F4" s="2">
        <v>31990</v>
      </c>
      <c r="G4" s="2">
        <v>36360</v>
      </c>
      <c r="H4" s="2">
        <v>352420.96</v>
      </c>
      <c r="I4" s="2">
        <v>42387.839999999997</v>
      </c>
      <c r="J4" s="2">
        <v>55738</v>
      </c>
      <c r="K4" s="2">
        <v>28323.200000000001</v>
      </c>
      <c r="L4" s="4">
        <v>0</v>
      </c>
      <c r="M4" s="4">
        <v>0</v>
      </c>
      <c r="N4" s="4">
        <f t="shared" ref="N4:N33" si="0">(D4+E4)-F4-J4-L4</f>
        <v>386772</v>
      </c>
      <c r="O4" s="4">
        <f t="shared" ref="O4:O33" si="1">(D4+E4)-F4</f>
        <v>442510</v>
      </c>
      <c r="P4" s="4">
        <f t="shared" ref="P4:P30" si="2">O4*0.55</f>
        <v>243380.50000000003</v>
      </c>
      <c r="Q4" s="12">
        <f t="shared" ref="Q4:Q30" si="3">(D4/528000)*100</f>
        <v>89.867424242424249</v>
      </c>
      <c r="R4" s="31">
        <f t="shared" ref="R4:R33" si="4">(E4/528000)*100</f>
        <v>0</v>
      </c>
      <c r="S4">
        <f t="shared" ref="S4:S34" si="5">(D4+E4+G4)-(F4+H4+I4+J4+K4+L4+M4)</f>
        <v>0</v>
      </c>
    </row>
    <row r="5" spans="1:20" x14ac:dyDescent="0.25">
      <c r="A5" s="7">
        <v>3</v>
      </c>
      <c r="B5" s="5">
        <v>45719</v>
      </c>
      <c r="C5" s="2" t="s">
        <v>21</v>
      </c>
      <c r="D5" s="2">
        <v>485900</v>
      </c>
      <c r="E5" s="2">
        <v>0</v>
      </c>
      <c r="F5" s="2">
        <v>21030</v>
      </c>
      <c r="G5" s="2">
        <v>101315</v>
      </c>
      <c r="H5" s="2">
        <v>440236.1</v>
      </c>
      <c r="I5" s="2">
        <v>40105.599999999999</v>
      </c>
      <c r="J5" s="2">
        <v>55172</v>
      </c>
      <c r="K5" s="2">
        <v>30671.3</v>
      </c>
      <c r="L5" s="4">
        <v>0</v>
      </c>
      <c r="M5" s="4">
        <v>0</v>
      </c>
      <c r="N5" s="4">
        <f t="shared" si="0"/>
        <v>409698</v>
      </c>
      <c r="O5" s="4">
        <f t="shared" si="1"/>
        <v>464870</v>
      </c>
      <c r="P5" s="4">
        <f t="shared" si="2"/>
        <v>255678.50000000003</v>
      </c>
      <c r="Q5" s="12">
        <f t="shared" si="3"/>
        <v>92.026515151515156</v>
      </c>
      <c r="R5" s="31">
        <f t="shared" si="4"/>
        <v>0</v>
      </c>
      <c r="S5">
        <f t="shared" si="5"/>
        <v>0</v>
      </c>
    </row>
    <row r="6" spans="1:20" x14ac:dyDescent="0.25">
      <c r="A6" s="7">
        <v>4</v>
      </c>
      <c r="B6" s="5">
        <v>45720</v>
      </c>
      <c r="C6" s="2" t="s">
        <v>21</v>
      </c>
      <c r="D6" s="2">
        <v>527100</v>
      </c>
      <c r="E6" s="2">
        <v>0</v>
      </c>
      <c r="F6" s="2">
        <v>0</v>
      </c>
      <c r="G6" s="2">
        <v>244445</v>
      </c>
      <c r="H6" s="2">
        <v>593575</v>
      </c>
      <c r="I6" s="2">
        <v>70441.600000000006</v>
      </c>
      <c r="J6" s="2">
        <v>55087</v>
      </c>
      <c r="K6" s="2">
        <v>30520.799999999999</v>
      </c>
      <c r="L6" s="4">
        <v>7700</v>
      </c>
      <c r="M6" s="4">
        <v>14220.8</v>
      </c>
      <c r="N6" s="4">
        <f t="shared" si="0"/>
        <v>464313</v>
      </c>
      <c r="O6" s="4">
        <f t="shared" si="1"/>
        <v>527100</v>
      </c>
      <c r="P6" s="4">
        <f t="shared" si="2"/>
        <v>289905</v>
      </c>
      <c r="Q6" s="12">
        <f t="shared" si="3"/>
        <v>99.829545454545453</v>
      </c>
      <c r="R6" s="31">
        <f t="shared" si="4"/>
        <v>0</v>
      </c>
      <c r="S6">
        <f t="shared" si="5"/>
        <v>-0.20000000006984919</v>
      </c>
    </row>
    <row r="7" spans="1:20" x14ac:dyDescent="0.25">
      <c r="A7" s="7">
        <v>5</v>
      </c>
      <c r="B7" s="5">
        <v>45721</v>
      </c>
      <c r="C7" s="2" t="s">
        <v>21</v>
      </c>
      <c r="D7" s="2">
        <v>528700</v>
      </c>
      <c r="E7" s="2">
        <v>0</v>
      </c>
      <c r="F7" s="2">
        <v>700</v>
      </c>
      <c r="G7" s="2">
        <v>226720</v>
      </c>
      <c r="H7" s="2">
        <v>592309</v>
      </c>
      <c r="I7" s="2">
        <v>65169.8</v>
      </c>
      <c r="J7" s="2">
        <v>55371</v>
      </c>
      <c r="K7" s="2">
        <v>30484.9</v>
      </c>
      <c r="L7" s="4">
        <v>4700</v>
      </c>
      <c r="M7" s="4">
        <v>6684.9</v>
      </c>
      <c r="N7" s="4">
        <f t="shared" si="0"/>
        <v>467929</v>
      </c>
      <c r="O7" s="4">
        <f t="shared" si="1"/>
        <v>528000</v>
      </c>
      <c r="P7" s="4">
        <f t="shared" si="2"/>
        <v>290400</v>
      </c>
      <c r="Q7" s="12">
        <f t="shared" si="3"/>
        <v>100.13257575757575</v>
      </c>
      <c r="R7" s="31">
        <f t="shared" si="4"/>
        <v>0</v>
      </c>
      <c r="S7">
        <f t="shared" si="5"/>
        <v>0.39999999990686774</v>
      </c>
    </row>
    <row r="8" spans="1:20" x14ac:dyDescent="0.25">
      <c r="A8" s="7">
        <v>6</v>
      </c>
      <c r="B8" s="5">
        <v>45722</v>
      </c>
      <c r="C8" s="2" t="s">
        <v>21</v>
      </c>
      <c r="D8" s="2">
        <v>523800</v>
      </c>
      <c r="E8" s="2">
        <v>0</v>
      </c>
      <c r="F8" s="2">
        <v>0</v>
      </c>
      <c r="G8" s="2">
        <v>263320</v>
      </c>
      <c r="H8" s="2">
        <v>601401</v>
      </c>
      <c r="I8" s="2">
        <v>70867</v>
      </c>
      <c r="J8" s="2">
        <v>54285</v>
      </c>
      <c r="K8" s="2">
        <v>30983.5</v>
      </c>
      <c r="L8" s="4">
        <v>10000</v>
      </c>
      <c r="M8" s="4">
        <v>19583.5</v>
      </c>
      <c r="N8" s="4">
        <f t="shared" si="0"/>
        <v>459515</v>
      </c>
      <c r="O8" s="4">
        <f t="shared" si="1"/>
        <v>523800</v>
      </c>
      <c r="P8" s="4">
        <f t="shared" si="2"/>
        <v>288090</v>
      </c>
      <c r="Q8" s="12">
        <f t="shared" si="3"/>
        <v>99.204545454545453</v>
      </c>
      <c r="R8" s="31">
        <f t="shared" si="4"/>
        <v>0</v>
      </c>
      <c r="S8">
        <f t="shared" si="5"/>
        <v>0</v>
      </c>
    </row>
    <row r="9" spans="1:20" x14ac:dyDescent="0.25">
      <c r="A9" s="7">
        <v>7</v>
      </c>
      <c r="B9" s="5">
        <v>45723</v>
      </c>
      <c r="C9" s="2" t="s">
        <v>21</v>
      </c>
      <c r="D9" s="2">
        <v>489800</v>
      </c>
      <c r="E9" s="2">
        <v>0</v>
      </c>
      <c r="F9" s="2">
        <v>680</v>
      </c>
      <c r="G9" s="2">
        <v>211080</v>
      </c>
      <c r="H9" s="2">
        <v>531946</v>
      </c>
      <c r="I9" s="2">
        <v>61315.4</v>
      </c>
      <c r="J9" s="2">
        <v>53123</v>
      </c>
      <c r="K9" s="2">
        <v>30907.7</v>
      </c>
      <c r="L9" s="4">
        <v>5900</v>
      </c>
      <c r="M9" s="4">
        <v>17007.7</v>
      </c>
      <c r="N9" s="4">
        <f t="shared" si="0"/>
        <v>430097</v>
      </c>
      <c r="O9" s="4">
        <f t="shared" si="1"/>
        <v>489120</v>
      </c>
      <c r="P9" s="4">
        <f t="shared" si="2"/>
        <v>269016</v>
      </c>
      <c r="Q9" s="12">
        <f t="shared" si="3"/>
        <v>92.765151515151516</v>
      </c>
      <c r="R9" s="31">
        <f t="shared" si="4"/>
        <v>0</v>
      </c>
      <c r="S9">
        <f t="shared" si="5"/>
        <v>0.20000000006984919</v>
      </c>
    </row>
    <row r="10" spans="1:20" x14ac:dyDescent="0.25">
      <c r="A10" s="7">
        <v>8</v>
      </c>
      <c r="B10" s="5">
        <v>45724</v>
      </c>
      <c r="C10" s="2" t="s">
        <v>21</v>
      </c>
      <c r="D10" s="2">
        <v>525200</v>
      </c>
      <c r="E10" s="2">
        <v>0</v>
      </c>
      <c r="F10" s="2">
        <v>25</v>
      </c>
      <c r="G10" s="2">
        <v>244005</v>
      </c>
      <c r="H10" s="2">
        <v>596626</v>
      </c>
      <c r="I10" s="2">
        <v>76975.199999999997</v>
      </c>
      <c r="J10" s="2">
        <v>55004</v>
      </c>
      <c r="K10" s="2">
        <v>31387.599999999999</v>
      </c>
      <c r="L10" s="4">
        <v>3300</v>
      </c>
      <c r="M10" s="4">
        <v>5887.6</v>
      </c>
      <c r="N10" s="4">
        <f t="shared" si="0"/>
        <v>466871</v>
      </c>
      <c r="O10" s="4">
        <f t="shared" si="1"/>
        <v>525175</v>
      </c>
      <c r="P10" s="4">
        <f t="shared" si="2"/>
        <v>288846.25</v>
      </c>
      <c r="Q10" s="12">
        <f t="shared" si="3"/>
        <v>99.469696969696969</v>
      </c>
      <c r="R10" s="31">
        <f t="shared" si="4"/>
        <v>0</v>
      </c>
      <c r="S10">
        <f t="shared" si="5"/>
        <v>-0.39999999990686774</v>
      </c>
    </row>
    <row r="11" spans="1:20" x14ac:dyDescent="0.25">
      <c r="A11" s="7">
        <v>9</v>
      </c>
      <c r="B11" s="5">
        <v>45725</v>
      </c>
      <c r="C11" s="2" t="s">
        <v>21</v>
      </c>
      <c r="D11" s="2">
        <v>477300</v>
      </c>
      <c r="E11" s="2">
        <v>6500</v>
      </c>
      <c r="F11" s="2">
        <v>585</v>
      </c>
      <c r="G11" s="2">
        <v>239880</v>
      </c>
      <c r="H11" s="2">
        <v>548052</v>
      </c>
      <c r="I11" s="2">
        <v>63050.8</v>
      </c>
      <c r="J11" s="2">
        <v>52741</v>
      </c>
      <c r="K11" s="2">
        <v>31625.4</v>
      </c>
      <c r="L11" s="4">
        <v>9300</v>
      </c>
      <c r="M11" s="4">
        <v>18325.400000000001</v>
      </c>
      <c r="N11" s="4">
        <f t="shared" si="0"/>
        <v>421174</v>
      </c>
      <c r="O11" s="4">
        <f t="shared" si="1"/>
        <v>483215</v>
      </c>
      <c r="P11" s="4">
        <f t="shared" si="2"/>
        <v>265768.25</v>
      </c>
      <c r="Q11" s="12">
        <f t="shared" si="3"/>
        <v>90.397727272727266</v>
      </c>
      <c r="R11" s="31">
        <f t="shared" si="4"/>
        <v>1.231060606060606</v>
      </c>
      <c r="S11">
        <f t="shared" si="5"/>
        <v>0.39999999990686774</v>
      </c>
    </row>
    <row r="12" spans="1:20" x14ac:dyDescent="0.25">
      <c r="A12" s="7">
        <v>10</v>
      </c>
      <c r="B12" s="5">
        <v>45726</v>
      </c>
      <c r="C12" s="2" t="s">
        <v>21</v>
      </c>
      <c r="D12" s="2">
        <v>462100</v>
      </c>
      <c r="E12" s="2">
        <v>276800</v>
      </c>
      <c r="F12" s="2">
        <v>6400</v>
      </c>
      <c r="G12" s="2">
        <v>73525</v>
      </c>
      <c r="H12" s="2">
        <v>594979</v>
      </c>
      <c r="I12" s="2">
        <v>71426.2</v>
      </c>
      <c r="J12" s="2">
        <v>51694</v>
      </c>
      <c r="K12" s="2">
        <v>31163.1</v>
      </c>
      <c r="L12" s="4">
        <v>25500</v>
      </c>
      <c r="M12" s="4">
        <v>31263.1</v>
      </c>
      <c r="N12" s="4">
        <f t="shared" si="0"/>
        <v>655306</v>
      </c>
      <c r="O12" s="4">
        <f t="shared" si="1"/>
        <v>732500</v>
      </c>
      <c r="P12" s="4">
        <f t="shared" si="2"/>
        <v>402875.00000000006</v>
      </c>
      <c r="Q12" s="12">
        <f t="shared" si="3"/>
        <v>87.518939393939405</v>
      </c>
      <c r="R12" s="31">
        <f t="shared" si="4"/>
        <v>52.424242424242429</v>
      </c>
      <c r="S12">
        <f t="shared" si="5"/>
        <v>-0.39999999990686774</v>
      </c>
    </row>
    <row r="13" spans="1:20" x14ac:dyDescent="0.25">
      <c r="A13" s="7">
        <v>11</v>
      </c>
      <c r="B13" s="5">
        <v>45727</v>
      </c>
      <c r="C13" s="2" t="s">
        <v>21</v>
      </c>
      <c r="D13" s="2">
        <v>465800</v>
      </c>
      <c r="E13" s="2">
        <v>348400</v>
      </c>
      <c r="F13" s="2">
        <v>58780</v>
      </c>
      <c r="G13" s="2">
        <v>10745</v>
      </c>
      <c r="H13" s="2">
        <v>563549</v>
      </c>
      <c r="I13" s="2">
        <v>60116.4</v>
      </c>
      <c r="J13" s="2">
        <v>49983</v>
      </c>
      <c r="K13" s="2">
        <v>30708.2</v>
      </c>
      <c r="L13" s="4">
        <v>28200</v>
      </c>
      <c r="M13" s="4">
        <v>33608.199999999997</v>
      </c>
      <c r="N13" s="4">
        <f t="shared" si="0"/>
        <v>677237</v>
      </c>
      <c r="O13" s="4">
        <f t="shared" si="1"/>
        <v>755420</v>
      </c>
      <c r="P13" s="4">
        <f t="shared" si="2"/>
        <v>415481.00000000006</v>
      </c>
      <c r="Q13" s="12">
        <f t="shared" si="3"/>
        <v>88.219696969696969</v>
      </c>
      <c r="R13" s="31">
        <f t="shared" si="4"/>
        <v>65.984848484848484</v>
      </c>
      <c r="S13">
        <f t="shared" si="5"/>
        <v>0.20000000006984919</v>
      </c>
    </row>
    <row r="14" spans="1:20" x14ac:dyDescent="0.25">
      <c r="A14" s="7">
        <v>12</v>
      </c>
      <c r="B14" s="5">
        <v>45728</v>
      </c>
      <c r="C14" s="2" t="s">
        <v>21</v>
      </c>
      <c r="D14" s="2">
        <v>430600</v>
      </c>
      <c r="E14" s="2">
        <v>367400</v>
      </c>
      <c r="F14" s="2">
        <v>113565</v>
      </c>
      <c r="G14" s="2">
        <v>795</v>
      </c>
      <c r="H14" s="2">
        <v>488665</v>
      </c>
      <c r="I14" s="2">
        <v>51021.8</v>
      </c>
      <c r="J14" s="2">
        <v>50921</v>
      </c>
      <c r="K14" s="2">
        <v>31660.9</v>
      </c>
      <c r="L14" s="4">
        <v>29500</v>
      </c>
      <c r="M14" s="4">
        <v>33460.9</v>
      </c>
      <c r="N14" s="4">
        <f t="shared" si="0"/>
        <v>604014</v>
      </c>
      <c r="O14" s="4">
        <f t="shared" si="1"/>
        <v>684435</v>
      </c>
      <c r="P14" s="4">
        <f t="shared" si="2"/>
        <v>376439.25000000006</v>
      </c>
      <c r="Q14" s="12">
        <f t="shared" si="3"/>
        <v>81.553030303030312</v>
      </c>
      <c r="R14" s="31">
        <f t="shared" si="4"/>
        <v>69.583333333333329</v>
      </c>
      <c r="S14">
        <f t="shared" si="5"/>
        <v>0.39999999990686774</v>
      </c>
    </row>
    <row r="15" spans="1:20" x14ac:dyDescent="0.25">
      <c r="A15" s="7">
        <v>13</v>
      </c>
      <c r="B15" s="5">
        <v>45729</v>
      </c>
      <c r="C15" s="2" t="s">
        <v>21</v>
      </c>
      <c r="D15" s="2">
        <v>463800</v>
      </c>
      <c r="E15" s="2">
        <v>391500</v>
      </c>
      <c r="F15" s="2">
        <v>144170</v>
      </c>
      <c r="G15" s="2">
        <v>0</v>
      </c>
      <c r="H15" s="2">
        <v>508424</v>
      </c>
      <c r="I15" s="2">
        <v>52408</v>
      </c>
      <c r="J15" s="2">
        <v>52990</v>
      </c>
      <c r="K15" s="2">
        <v>31954</v>
      </c>
      <c r="L15" s="4">
        <v>31100</v>
      </c>
      <c r="M15" s="4">
        <v>34254</v>
      </c>
      <c r="N15" s="4">
        <f t="shared" si="0"/>
        <v>627040</v>
      </c>
      <c r="O15" s="4">
        <f t="shared" si="1"/>
        <v>711130</v>
      </c>
      <c r="P15" s="4">
        <f t="shared" si="2"/>
        <v>391121.50000000006</v>
      </c>
      <c r="Q15" s="12">
        <f t="shared" si="3"/>
        <v>87.840909090909093</v>
      </c>
      <c r="R15" s="31">
        <f t="shared" si="4"/>
        <v>74.147727272727266</v>
      </c>
      <c r="S15">
        <f t="shared" si="5"/>
        <v>0</v>
      </c>
      <c r="T15" s="18"/>
    </row>
    <row r="16" spans="1:20" x14ac:dyDescent="0.25">
      <c r="A16" s="7">
        <v>14</v>
      </c>
      <c r="B16" s="5">
        <v>45730</v>
      </c>
      <c r="C16" s="2" t="s">
        <v>21</v>
      </c>
      <c r="D16" s="2">
        <v>476800</v>
      </c>
      <c r="E16" s="2">
        <v>391700</v>
      </c>
      <c r="F16" s="2">
        <v>111905</v>
      </c>
      <c r="G16" s="2">
        <v>60</v>
      </c>
      <c r="H16" s="2">
        <v>535572</v>
      </c>
      <c r="I16" s="2">
        <v>70357.399999999994</v>
      </c>
      <c r="J16" s="2">
        <v>55168</v>
      </c>
      <c r="K16" s="2">
        <v>31328.7</v>
      </c>
      <c r="L16" s="4">
        <v>29600</v>
      </c>
      <c r="M16" s="4">
        <v>34628.699999999997</v>
      </c>
      <c r="N16" s="4">
        <f t="shared" si="0"/>
        <v>671827</v>
      </c>
      <c r="O16" s="4">
        <f t="shared" si="1"/>
        <v>756595</v>
      </c>
      <c r="P16" s="4">
        <f t="shared" si="2"/>
        <v>416127.25000000006</v>
      </c>
      <c r="Q16" s="12">
        <f t="shared" si="3"/>
        <v>90.303030303030312</v>
      </c>
      <c r="R16" s="31">
        <f t="shared" si="4"/>
        <v>74.185606060606062</v>
      </c>
      <c r="S16">
        <f t="shared" si="5"/>
        <v>0.20000000006984919</v>
      </c>
    </row>
    <row r="17" spans="1:20" x14ac:dyDescent="0.25">
      <c r="A17" s="7">
        <v>15</v>
      </c>
      <c r="B17" s="5">
        <v>45731</v>
      </c>
      <c r="C17" s="2" t="s">
        <v>21</v>
      </c>
      <c r="D17" s="2">
        <v>475500</v>
      </c>
      <c r="E17" s="2">
        <v>395000</v>
      </c>
      <c r="F17" s="2">
        <v>189245</v>
      </c>
      <c r="G17" s="2">
        <v>0</v>
      </c>
      <c r="H17" s="2">
        <v>474491</v>
      </c>
      <c r="I17" s="2">
        <v>58497</v>
      </c>
      <c r="J17" s="2">
        <v>53070</v>
      </c>
      <c r="K17" s="2">
        <v>31598.5</v>
      </c>
      <c r="L17" s="4">
        <v>29700</v>
      </c>
      <c r="M17" s="4">
        <v>33898.5</v>
      </c>
      <c r="N17" s="4">
        <f t="shared" si="0"/>
        <v>598485</v>
      </c>
      <c r="O17" s="4">
        <f t="shared" si="1"/>
        <v>681255</v>
      </c>
      <c r="P17" s="4">
        <f t="shared" si="2"/>
        <v>374690.25000000006</v>
      </c>
      <c r="Q17" s="12">
        <f t="shared" si="3"/>
        <v>90.056818181818173</v>
      </c>
      <c r="R17" s="31">
        <f t="shared" si="4"/>
        <v>74.810606060606062</v>
      </c>
      <c r="S17">
        <f t="shared" si="5"/>
        <v>0</v>
      </c>
    </row>
    <row r="18" spans="1:20" x14ac:dyDescent="0.25">
      <c r="A18" s="7">
        <v>16</v>
      </c>
      <c r="B18" s="5">
        <v>45732</v>
      </c>
      <c r="C18" s="2" t="s">
        <v>21</v>
      </c>
      <c r="D18" s="2">
        <v>500300</v>
      </c>
      <c r="E18" s="2">
        <v>246900</v>
      </c>
      <c r="F18" s="2">
        <v>67555</v>
      </c>
      <c r="G18" s="2">
        <v>72610</v>
      </c>
      <c r="H18" s="2">
        <v>542738</v>
      </c>
      <c r="I18" s="2">
        <v>64912.800000000003</v>
      </c>
      <c r="J18" s="2">
        <v>56491</v>
      </c>
      <c r="K18" s="2">
        <v>31906.400000000001</v>
      </c>
      <c r="L18" s="4">
        <v>23700</v>
      </c>
      <c r="M18" s="4">
        <v>32506.400000000001</v>
      </c>
      <c r="N18" s="4">
        <f t="shared" si="0"/>
        <v>599454</v>
      </c>
      <c r="O18" s="4">
        <f t="shared" si="1"/>
        <v>679645</v>
      </c>
      <c r="P18" s="4">
        <f t="shared" si="2"/>
        <v>373804.75000000006</v>
      </c>
      <c r="Q18" s="12">
        <f t="shared" si="3"/>
        <v>94.753787878787875</v>
      </c>
      <c r="R18" s="31">
        <f t="shared" si="4"/>
        <v>46.761363636363633</v>
      </c>
      <c r="S18">
        <f t="shared" si="5"/>
        <v>0.39999999990686774</v>
      </c>
    </row>
    <row r="19" spans="1:20" x14ac:dyDescent="0.25">
      <c r="A19" s="7">
        <v>17</v>
      </c>
      <c r="B19" s="5">
        <v>45733</v>
      </c>
      <c r="C19" s="2" t="s">
        <v>21</v>
      </c>
      <c r="D19" s="2">
        <v>457200</v>
      </c>
      <c r="E19" s="2">
        <v>382500</v>
      </c>
      <c r="F19" s="2">
        <v>95085</v>
      </c>
      <c r="G19" s="2">
        <v>1110</v>
      </c>
      <c r="H19" s="2">
        <v>553003</v>
      </c>
      <c r="I19" s="2">
        <v>42567.6</v>
      </c>
      <c r="J19" s="2">
        <v>54187</v>
      </c>
      <c r="K19" s="2">
        <v>32233.8</v>
      </c>
      <c r="L19" s="4">
        <v>29700</v>
      </c>
      <c r="M19" s="4">
        <v>34033.800000000003</v>
      </c>
      <c r="N19" s="4">
        <f t="shared" si="0"/>
        <v>660728</v>
      </c>
      <c r="O19" s="4">
        <f t="shared" si="1"/>
        <v>744615</v>
      </c>
      <c r="P19" s="4">
        <f t="shared" si="2"/>
        <v>409538.25000000006</v>
      </c>
      <c r="Q19" s="12">
        <f t="shared" si="3"/>
        <v>86.590909090909093</v>
      </c>
      <c r="R19" s="31">
        <f t="shared" si="4"/>
        <v>72.443181818181827</v>
      </c>
      <c r="S19">
        <f t="shared" si="5"/>
        <v>-0.20000000006984919</v>
      </c>
    </row>
    <row r="20" spans="1:20" x14ac:dyDescent="0.25">
      <c r="A20" s="7">
        <v>18</v>
      </c>
      <c r="B20" s="5">
        <v>45734</v>
      </c>
      <c r="C20" s="2" t="s">
        <v>21</v>
      </c>
      <c r="D20" s="2">
        <v>475600</v>
      </c>
      <c r="E20" s="2">
        <v>396400</v>
      </c>
      <c r="F20" s="2">
        <v>63235</v>
      </c>
      <c r="G20" s="2">
        <v>180</v>
      </c>
      <c r="H20" s="2">
        <v>599677</v>
      </c>
      <c r="I20" s="2">
        <v>59019.56</v>
      </c>
      <c r="J20" s="2">
        <v>55856</v>
      </c>
      <c r="K20" s="2">
        <v>31396.18</v>
      </c>
      <c r="L20" s="4">
        <v>29400</v>
      </c>
      <c r="M20" s="4">
        <v>33596.18</v>
      </c>
      <c r="N20" s="4">
        <f t="shared" si="0"/>
        <v>723509</v>
      </c>
      <c r="O20" s="4">
        <f t="shared" si="1"/>
        <v>808765</v>
      </c>
      <c r="P20" s="4">
        <f t="shared" si="2"/>
        <v>444820.75000000006</v>
      </c>
      <c r="Q20" s="12">
        <f t="shared" si="3"/>
        <v>90.075757575757578</v>
      </c>
      <c r="R20" s="31">
        <f t="shared" si="4"/>
        <v>75.075757575757578</v>
      </c>
      <c r="S20">
        <f t="shared" si="5"/>
        <v>7.9999999841675162E-2</v>
      </c>
    </row>
    <row r="21" spans="1:20" x14ac:dyDescent="0.25">
      <c r="A21" s="7">
        <v>19</v>
      </c>
      <c r="B21" s="5">
        <v>45735</v>
      </c>
      <c r="C21" s="2" t="s">
        <v>21</v>
      </c>
      <c r="D21" s="2">
        <v>464300</v>
      </c>
      <c r="E21" s="2">
        <v>356900</v>
      </c>
      <c r="F21" s="2">
        <v>30625</v>
      </c>
      <c r="G21" s="2">
        <v>20120</v>
      </c>
      <c r="H21" s="2">
        <v>597226</v>
      </c>
      <c r="I21" s="2">
        <v>62208.6</v>
      </c>
      <c r="J21" s="2">
        <v>56752</v>
      </c>
      <c r="K21" s="2">
        <v>29704.3</v>
      </c>
      <c r="L21" s="4">
        <v>30600</v>
      </c>
      <c r="M21" s="4">
        <v>34204.300000000003</v>
      </c>
      <c r="N21" s="4">
        <f t="shared" si="0"/>
        <v>703223</v>
      </c>
      <c r="O21" s="4">
        <f t="shared" si="1"/>
        <v>790575</v>
      </c>
      <c r="P21" s="4">
        <f t="shared" si="2"/>
        <v>434816.25000000006</v>
      </c>
      <c r="Q21" s="12">
        <f t="shared" si="3"/>
        <v>87.935606060606062</v>
      </c>
      <c r="R21" s="31">
        <f t="shared" si="4"/>
        <v>67.594696969696969</v>
      </c>
      <c r="S21">
        <f t="shared" si="5"/>
        <v>-0.20000000006984919</v>
      </c>
    </row>
    <row r="22" spans="1:20" x14ac:dyDescent="0.25">
      <c r="A22" s="7">
        <v>20</v>
      </c>
      <c r="B22" s="5">
        <v>45736</v>
      </c>
      <c r="C22" s="2" t="s">
        <v>21</v>
      </c>
      <c r="D22" s="2">
        <v>468800</v>
      </c>
      <c r="E22" s="2">
        <v>403300</v>
      </c>
      <c r="F22" s="2">
        <v>39755</v>
      </c>
      <c r="G22" s="2">
        <v>14260</v>
      </c>
      <c r="H22" s="2">
        <v>623932</v>
      </c>
      <c r="I22" s="2">
        <v>71777.2</v>
      </c>
      <c r="J22" s="2">
        <v>55419</v>
      </c>
      <c r="K22" s="2">
        <v>29188.6</v>
      </c>
      <c r="L22" s="4">
        <v>30400</v>
      </c>
      <c r="M22" s="4">
        <v>35888.6</v>
      </c>
      <c r="N22" s="4">
        <f t="shared" si="0"/>
        <v>746526</v>
      </c>
      <c r="O22" s="4">
        <f t="shared" si="1"/>
        <v>832345</v>
      </c>
      <c r="P22" s="4">
        <f t="shared" si="2"/>
        <v>457789.75000000006</v>
      </c>
      <c r="Q22" s="12">
        <f t="shared" si="3"/>
        <v>88.787878787878796</v>
      </c>
      <c r="R22" s="31">
        <f t="shared" si="4"/>
        <v>76.382575757575751</v>
      </c>
      <c r="S22">
        <f t="shared" si="5"/>
        <v>-0.39999999990686774</v>
      </c>
    </row>
    <row r="23" spans="1:20" x14ac:dyDescent="0.25">
      <c r="A23" s="7">
        <v>21</v>
      </c>
      <c r="B23" s="5">
        <v>45737</v>
      </c>
      <c r="C23" s="2" t="s">
        <v>21</v>
      </c>
      <c r="D23" s="2">
        <v>444600</v>
      </c>
      <c r="E23" s="2">
        <v>423600</v>
      </c>
      <c r="F23" s="2">
        <v>39075</v>
      </c>
      <c r="G23" s="2">
        <v>10610</v>
      </c>
      <c r="H23" s="2">
        <v>619138</v>
      </c>
      <c r="I23" s="2">
        <v>74179.399999999994</v>
      </c>
      <c r="J23" s="2">
        <v>52938</v>
      </c>
      <c r="K23" s="2">
        <v>28189.7</v>
      </c>
      <c r="L23" s="4">
        <v>28100</v>
      </c>
      <c r="M23" s="4">
        <v>37189.699999999997</v>
      </c>
      <c r="N23" s="4">
        <f t="shared" si="0"/>
        <v>748087</v>
      </c>
      <c r="O23" s="4">
        <f t="shared" si="1"/>
        <v>829125</v>
      </c>
      <c r="P23" s="4">
        <f t="shared" si="2"/>
        <v>456018.75000000006</v>
      </c>
      <c r="Q23" s="12">
        <f t="shared" si="3"/>
        <v>84.204545454545453</v>
      </c>
      <c r="R23" s="31">
        <f t="shared" si="4"/>
        <v>80.22727272727272</v>
      </c>
      <c r="S23">
        <f t="shared" si="5"/>
        <v>0.20000000006984919</v>
      </c>
    </row>
    <row r="24" spans="1:20" x14ac:dyDescent="0.25">
      <c r="A24" s="7">
        <v>22</v>
      </c>
      <c r="B24" s="5">
        <v>45738</v>
      </c>
      <c r="C24" s="2" t="s">
        <v>21</v>
      </c>
      <c r="D24" s="2">
        <v>401700</v>
      </c>
      <c r="E24" s="2">
        <v>387200</v>
      </c>
      <c r="F24" s="2">
        <v>12830</v>
      </c>
      <c r="G24" s="2">
        <v>8825</v>
      </c>
      <c r="H24" s="2">
        <v>559637</v>
      </c>
      <c r="I24" s="2">
        <v>78312.2</v>
      </c>
      <c r="J24" s="2">
        <v>50834</v>
      </c>
      <c r="K24" s="2">
        <v>30256.1</v>
      </c>
      <c r="L24" s="4">
        <v>27600</v>
      </c>
      <c r="M24" s="4">
        <v>38256.1</v>
      </c>
      <c r="N24" s="4">
        <f t="shared" si="0"/>
        <v>697636</v>
      </c>
      <c r="O24" s="4">
        <f t="shared" si="1"/>
        <v>776070</v>
      </c>
      <c r="P24" s="4">
        <f t="shared" si="2"/>
        <v>426838.50000000006</v>
      </c>
      <c r="Q24" s="12">
        <f t="shared" si="3"/>
        <v>76.079545454545453</v>
      </c>
      <c r="R24" s="31">
        <f t="shared" si="4"/>
        <v>73.333333333333329</v>
      </c>
      <c r="S24">
        <f t="shared" si="5"/>
        <v>-0.39999999990686774</v>
      </c>
    </row>
    <row r="25" spans="1:20" x14ac:dyDescent="0.25">
      <c r="A25" s="7">
        <v>23</v>
      </c>
      <c r="B25" s="5">
        <v>45739</v>
      </c>
      <c r="C25" s="2" t="s">
        <v>21</v>
      </c>
      <c r="D25" s="2">
        <v>476400</v>
      </c>
      <c r="E25" s="2">
        <v>228300</v>
      </c>
      <c r="F25" s="2">
        <v>19505</v>
      </c>
      <c r="G25" s="2">
        <v>127885</v>
      </c>
      <c r="H25" s="2">
        <v>596157</v>
      </c>
      <c r="I25" s="2">
        <v>81919</v>
      </c>
      <c r="J25" s="2">
        <v>54585</v>
      </c>
      <c r="K25" s="2">
        <v>27759.5</v>
      </c>
      <c r="L25" s="4">
        <v>20900</v>
      </c>
      <c r="M25" s="4">
        <v>31759.5</v>
      </c>
      <c r="N25" s="4">
        <f t="shared" si="0"/>
        <v>609710</v>
      </c>
      <c r="O25" s="4">
        <f t="shared" si="1"/>
        <v>685195</v>
      </c>
      <c r="P25" s="4">
        <f t="shared" si="2"/>
        <v>376857.25000000006</v>
      </c>
      <c r="Q25" s="12">
        <f t="shared" si="3"/>
        <v>90.22727272727272</v>
      </c>
      <c r="R25" s="31">
        <f t="shared" si="4"/>
        <v>43.23863636363636</v>
      </c>
      <c r="S25">
        <f t="shared" si="5"/>
        <v>0</v>
      </c>
    </row>
    <row r="26" spans="1:20" x14ac:dyDescent="0.25">
      <c r="A26" s="7">
        <v>24</v>
      </c>
      <c r="B26" s="5">
        <v>45740</v>
      </c>
      <c r="C26" s="2" t="s">
        <v>21</v>
      </c>
      <c r="D26" s="2">
        <v>426500</v>
      </c>
      <c r="E26" s="2">
        <v>0</v>
      </c>
      <c r="F26" s="2">
        <v>80</v>
      </c>
      <c r="G26" s="2">
        <v>243390</v>
      </c>
      <c r="H26" s="2">
        <v>507945.2</v>
      </c>
      <c r="I26" s="2">
        <v>60948.4</v>
      </c>
      <c r="J26" s="2">
        <v>52668</v>
      </c>
      <c r="K26" s="2">
        <v>26724.2</v>
      </c>
      <c r="L26" s="4">
        <v>7000</v>
      </c>
      <c r="M26" s="4">
        <v>14524.2</v>
      </c>
      <c r="N26" s="4">
        <f t="shared" si="0"/>
        <v>366752</v>
      </c>
      <c r="O26" s="4">
        <f t="shared" si="1"/>
        <v>426420</v>
      </c>
      <c r="P26" s="4">
        <f t="shared" si="2"/>
        <v>234531.00000000003</v>
      </c>
      <c r="Q26" s="12">
        <f t="shared" si="3"/>
        <v>80.776515151515156</v>
      </c>
      <c r="R26" s="31">
        <f t="shared" si="4"/>
        <v>0</v>
      </c>
      <c r="S26">
        <f t="shared" si="5"/>
        <v>0</v>
      </c>
    </row>
    <row r="27" spans="1:20" x14ac:dyDescent="0.25">
      <c r="A27" s="7">
        <v>25</v>
      </c>
      <c r="B27" s="5">
        <v>45741</v>
      </c>
      <c r="C27" s="2" t="s">
        <v>21</v>
      </c>
      <c r="D27" s="2">
        <v>492300</v>
      </c>
      <c r="E27" s="2">
        <v>0</v>
      </c>
      <c r="F27" s="2">
        <v>0</v>
      </c>
      <c r="G27" s="2">
        <v>249775</v>
      </c>
      <c r="H27" s="2">
        <v>581197</v>
      </c>
      <c r="I27" s="2">
        <v>65332.4</v>
      </c>
      <c r="J27" s="2">
        <v>56113</v>
      </c>
      <c r="K27" s="2">
        <v>27716.2</v>
      </c>
      <c r="L27" s="4">
        <v>5100</v>
      </c>
      <c r="M27" s="4">
        <v>6616.2</v>
      </c>
      <c r="N27" s="4">
        <f t="shared" si="0"/>
        <v>431087</v>
      </c>
      <c r="O27" s="4">
        <f t="shared" si="1"/>
        <v>492300</v>
      </c>
      <c r="P27" s="4">
        <f t="shared" si="2"/>
        <v>270765</v>
      </c>
      <c r="Q27" s="12">
        <f t="shared" si="3"/>
        <v>93.23863636363636</v>
      </c>
      <c r="R27" s="31">
        <f t="shared" si="4"/>
        <v>0</v>
      </c>
      <c r="S27">
        <f t="shared" si="5"/>
        <v>0.20000000006984919</v>
      </c>
    </row>
    <row r="28" spans="1:20" x14ac:dyDescent="0.25">
      <c r="A28" s="7">
        <v>26</v>
      </c>
      <c r="B28" s="5">
        <v>45742</v>
      </c>
      <c r="C28" s="2" t="s">
        <v>21</v>
      </c>
      <c r="D28" s="2">
        <v>488200</v>
      </c>
      <c r="E28" s="2">
        <v>0</v>
      </c>
      <c r="F28" s="2">
        <v>0</v>
      </c>
      <c r="G28" s="2">
        <v>259525</v>
      </c>
      <c r="H28" s="2">
        <v>584993</v>
      </c>
      <c r="I28" s="2">
        <v>67297.600000000006</v>
      </c>
      <c r="J28" s="2">
        <v>56937</v>
      </c>
      <c r="K28" s="2">
        <v>27998.799999999999</v>
      </c>
      <c r="L28" s="4">
        <v>4500</v>
      </c>
      <c r="M28" s="4">
        <v>5998.8</v>
      </c>
      <c r="N28" s="4">
        <f t="shared" si="0"/>
        <v>426763</v>
      </c>
      <c r="O28" s="4">
        <f t="shared" si="1"/>
        <v>488200</v>
      </c>
      <c r="P28" s="4">
        <f t="shared" si="2"/>
        <v>268510</v>
      </c>
      <c r="Q28" s="12">
        <f t="shared" si="3"/>
        <v>92.462121212121204</v>
      </c>
      <c r="R28" s="31">
        <f t="shared" si="4"/>
        <v>0</v>
      </c>
      <c r="S28">
        <f t="shared" si="5"/>
        <v>-0.20000000006984919</v>
      </c>
    </row>
    <row r="29" spans="1:20" x14ac:dyDescent="0.25">
      <c r="A29" s="7">
        <v>27</v>
      </c>
      <c r="B29" s="5">
        <v>45743</v>
      </c>
      <c r="C29" s="2" t="s">
        <v>21</v>
      </c>
      <c r="D29" s="2">
        <v>510400</v>
      </c>
      <c r="E29" s="2">
        <v>0</v>
      </c>
      <c r="F29" s="2">
        <v>120</v>
      </c>
      <c r="G29" s="2">
        <v>230665</v>
      </c>
      <c r="H29" s="2">
        <v>579998</v>
      </c>
      <c r="I29" s="2">
        <v>61632.6</v>
      </c>
      <c r="J29" s="2">
        <v>57282</v>
      </c>
      <c r="K29" s="2">
        <v>30916.3</v>
      </c>
      <c r="L29" s="4">
        <v>4400</v>
      </c>
      <c r="M29" s="4">
        <v>6716.3</v>
      </c>
      <c r="N29" s="4">
        <f t="shared" si="0"/>
        <v>448598</v>
      </c>
      <c r="O29" s="4">
        <f t="shared" si="1"/>
        <v>510280</v>
      </c>
      <c r="P29" s="4">
        <f t="shared" si="2"/>
        <v>280654</v>
      </c>
      <c r="Q29" s="12">
        <f t="shared" si="3"/>
        <v>96.666666666666671</v>
      </c>
      <c r="R29" s="31">
        <f t="shared" si="4"/>
        <v>0</v>
      </c>
      <c r="S29">
        <f t="shared" si="5"/>
        <v>-0.20000000006984919</v>
      </c>
    </row>
    <row r="30" spans="1:20" s="18" customFormat="1" x14ac:dyDescent="0.25">
      <c r="A30" s="14">
        <v>28</v>
      </c>
      <c r="B30" s="15">
        <v>45744</v>
      </c>
      <c r="C30" s="14" t="s">
        <v>21</v>
      </c>
      <c r="D30" s="14">
        <v>521200</v>
      </c>
      <c r="E30" s="14">
        <v>0</v>
      </c>
      <c r="F30" s="14">
        <v>10</v>
      </c>
      <c r="G30" s="14">
        <v>237135</v>
      </c>
      <c r="H30" s="14">
        <v>588413</v>
      </c>
      <c r="I30" s="14">
        <v>69604.2</v>
      </c>
      <c r="J30" s="14">
        <v>58504</v>
      </c>
      <c r="K30" s="14">
        <v>31702.1</v>
      </c>
      <c r="L30" s="22">
        <v>4000</v>
      </c>
      <c r="M30" s="16">
        <v>6102.1</v>
      </c>
      <c r="N30" s="4">
        <f t="shared" si="0"/>
        <v>458686</v>
      </c>
      <c r="O30" s="4">
        <f t="shared" si="1"/>
        <v>521190</v>
      </c>
      <c r="P30" s="16">
        <f t="shared" si="2"/>
        <v>286654.5</v>
      </c>
      <c r="Q30" s="17">
        <f t="shared" si="3"/>
        <v>98.712121212121204</v>
      </c>
      <c r="R30" s="31">
        <f t="shared" si="4"/>
        <v>0</v>
      </c>
      <c r="S30">
        <f t="shared" si="5"/>
        <v>-0.39999999990686774</v>
      </c>
      <c r="T30"/>
    </row>
    <row r="31" spans="1:20" x14ac:dyDescent="0.25">
      <c r="A31" s="7">
        <v>29</v>
      </c>
      <c r="B31" s="5">
        <v>45745</v>
      </c>
      <c r="C31" s="2" t="s">
        <v>21</v>
      </c>
      <c r="D31" s="2">
        <v>524800</v>
      </c>
      <c r="E31" s="2">
        <v>0</v>
      </c>
      <c r="F31" s="2">
        <v>0</v>
      </c>
      <c r="G31" s="2">
        <v>256860</v>
      </c>
      <c r="H31" s="2">
        <v>590282</v>
      </c>
      <c r="I31" s="2">
        <v>85794</v>
      </c>
      <c r="J31" s="2">
        <v>57790</v>
      </c>
      <c r="K31" s="2">
        <v>29047</v>
      </c>
      <c r="L31" s="4">
        <v>4400</v>
      </c>
      <c r="M31" s="4">
        <v>14347</v>
      </c>
      <c r="N31" s="4">
        <f t="shared" si="0"/>
        <v>462610</v>
      </c>
      <c r="O31" s="4">
        <f t="shared" si="1"/>
        <v>524800</v>
      </c>
      <c r="P31" s="4">
        <f>O31*0.55</f>
        <v>288640</v>
      </c>
      <c r="Q31" s="12">
        <f>(D31/528000)*100</f>
        <v>99.393939393939391</v>
      </c>
      <c r="R31" s="31">
        <f t="shared" si="4"/>
        <v>0</v>
      </c>
      <c r="S31">
        <f t="shared" si="5"/>
        <v>0</v>
      </c>
    </row>
    <row r="32" spans="1:20" x14ac:dyDescent="0.25">
      <c r="A32" s="7">
        <v>30</v>
      </c>
      <c r="B32" s="5">
        <v>45746</v>
      </c>
      <c r="C32" s="2" t="s">
        <v>21</v>
      </c>
      <c r="D32" s="2">
        <v>517300</v>
      </c>
      <c r="E32" s="2">
        <v>172200</v>
      </c>
      <c r="F32" s="2">
        <v>4640</v>
      </c>
      <c r="G32" s="2">
        <v>120055</v>
      </c>
      <c r="H32" s="2">
        <v>599243</v>
      </c>
      <c r="I32" s="2">
        <v>72447.600000000006</v>
      </c>
      <c r="J32" s="2">
        <v>57277</v>
      </c>
      <c r="K32" s="2">
        <v>31623.8</v>
      </c>
      <c r="L32" s="4">
        <v>19100</v>
      </c>
      <c r="M32" s="4">
        <v>25223.8</v>
      </c>
      <c r="N32" s="4">
        <f t="shared" si="0"/>
        <v>608483</v>
      </c>
      <c r="O32" s="4">
        <f t="shared" si="1"/>
        <v>684860</v>
      </c>
      <c r="P32" s="4">
        <f>O32*0.55</f>
        <v>376673.00000000006</v>
      </c>
      <c r="Q32" s="12">
        <f>(D32/528000)*100</f>
        <v>97.973484848484844</v>
      </c>
      <c r="R32" s="31">
        <f t="shared" si="4"/>
        <v>32.61363636363636</v>
      </c>
      <c r="S32">
        <f t="shared" si="5"/>
        <v>-0.20000000006984919</v>
      </c>
    </row>
    <row r="33" spans="1:19" x14ac:dyDescent="0.25">
      <c r="A33" s="7">
        <v>31</v>
      </c>
      <c r="B33" s="5">
        <v>45747</v>
      </c>
      <c r="C33" s="2" t="s">
        <v>21</v>
      </c>
      <c r="D33" s="2">
        <v>528300</v>
      </c>
      <c r="E33" s="2">
        <v>274900</v>
      </c>
      <c r="F33" s="2">
        <v>10575</v>
      </c>
      <c r="G33" s="2">
        <v>54885</v>
      </c>
      <c r="H33" s="2">
        <v>621214</v>
      </c>
      <c r="I33" s="2">
        <v>87304.8</v>
      </c>
      <c r="J33" s="2">
        <v>57386</v>
      </c>
      <c r="K33" s="2">
        <v>32102.400000000001</v>
      </c>
      <c r="L33" s="4">
        <v>21600</v>
      </c>
      <c r="M33" s="4">
        <v>27902.400000000001</v>
      </c>
      <c r="N33" s="4">
        <f t="shared" si="0"/>
        <v>713639</v>
      </c>
      <c r="O33" s="4">
        <f t="shared" si="1"/>
        <v>792625</v>
      </c>
      <c r="P33" s="4">
        <f>O33*0.55</f>
        <v>435943.75000000006</v>
      </c>
      <c r="Q33" s="12">
        <f>(D33/528000)*100</f>
        <v>100.05681818181817</v>
      </c>
      <c r="R33" s="31">
        <f t="shared" si="4"/>
        <v>52.064393939393938</v>
      </c>
      <c r="S33">
        <f t="shared" si="5"/>
        <v>0.39999999990686774</v>
      </c>
    </row>
    <row r="34" spans="1:19" x14ac:dyDescent="0.25">
      <c r="A34" s="2"/>
      <c r="B34" s="2"/>
      <c r="C34" s="8" t="s">
        <v>15</v>
      </c>
      <c r="D34" s="8">
        <f t="shared" ref="D34:P34" si="6">SUM(D3:D33)</f>
        <v>14996800</v>
      </c>
      <c r="E34" s="8">
        <f>SUM(E3:E33)</f>
        <v>5449500</v>
      </c>
      <c r="F34" s="8">
        <f t="shared" si="6"/>
        <v>1064205</v>
      </c>
      <c r="G34" s="8">
        <f t="shared" si="6"/>
        <v>3698235</v>
      </c>
      <c r="H34" s="8">
        <f t="shared" si="6"/>
        <v>17269887.66</v>
      </c>
      <c r="I34" s="23">
        <f>SUM(I3:I33)</f>
        <v>1997432.6</v>
      </c>
      <c r="J34" s="8">
        <f t="shared" si="6"/>
        <v>1698403</v>
      </c>
      <c r="K34" s="8">
        <f t="shared" si="6"/>
        <v>941918.18000000017</v>
      </c>
      <c r="L34" s="8">
        <f>SUM(L3:L33)</f>
        <v>505000</v>
      </c>
      <c r="M34" s="8">
        <f>SUM(M3:M33)</f>
        <v>667688.68000000005</v>
      </c>
      <c r="N34" s="8">
        <f t="shared" si="6"/>
        <v>17178692</v>
      </c>
      <c r="O34" s="8">
        <f t="shared" si="6"/>
        <v>19382095</v>
      </c>
      <c r="P34" s="8">
        <f t="shared" si="6"/>
        <v>10660152.25</v>
      </c>
      <c r="Q34" s="13">
        <f>SUM(Q3:Q33)/31</f>
        <v>91.622678396871919</v>
      </c>
      <c r="R34" s="13">
        <f>SUM(R3:R33)/31</f>
        <v>33.293621700879775</v>
      </c>
      <c r="S34">
        <f t="shared" si="5"/>
        <v>-0.12000000104308128</v>
      </c>
    </row>
    <row r="35" spans="1:19" x14ac:dyDescent="0.25">
      <c r="A35" s="2"/>
      <c r="B35" s="2"/>
      <c r="C35" s="8" t="s">
        <v>16</v>
      </c>
      <c r="D35" s="2">
        <v>14996800</v>
      </c>
      <c r="E35" s="2">
        <v>5445600</v>
      </c>
      <c r="F35" s="2">
        <v>1067589</v>
      </c>
      <c r="G35" s="2">
        <v>3771240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9" x14ac:dyDescent="0.25">
      <c r="A36" s="2"/>
      <c r="B36" s="2"/>
      <c r="C36" s="8" t="s">
        <v>17</v>
      </c>
      <c r="D36" s="2">
        <f>D34-D35</f>
        <v>0</v>
      </c>
      <c r="E36" s="2">
        <v>-3900</v>
      </c>
      <c r="F36" s="2">
        <v>-3384</v>
      </c>
      <c r="G36" s="2">
        <v>73005</v>
      </c>
      <c r="H36" s="63">
        <v>65720.88</v>
      </c>
      <c r="I36" s="64"/>
      <c r="J36" s="64"/>
      <c r="K36" s="64"/>
      <c r="L36" s="64"/>
      <c r="M36" s="65"/>
      <c r="N36" s="2"/>
      <c r="O36" s="2"/>
      <c r="P36" s="2"/>
      <c r="Q36" s="2"/>
      <c r="R36" s="2"/>
    </row>
    <row r="37" spans="1:19" x14ac:dyDescent="0.25">
      <c r="A37" s="2"/>
      <c r="B37" s="2"/>
      <c r="C37" s="8" t="s">
        <v>18</v>
      </c>
      <c r="D37" s="2"/>
      <c r="E37" s="2"/>
      <c r="F37" s="2"/>
      <c r="G37" s="2"/>
      <c r="H37" s="2">
        <v>17302748.100000001</v>
      </c>
      <c r="I37" s="2">
        <v>2010576.78</v>
      </c>
      <c r="J37" s="2"/>
      <c r="K37" s="2">
        <v>951776.31200000003</v>
      </c>
      <c r="L37" s="2"/>
      <c r="M37" s="2">
        <v>677547</v>
      </c>
      <c r="N37" s="2"/>
      <c r="O37" s="2"/>
      <c r="P37" s="2"/>
      <c r="Q37" s="2"/>
      <c r="R37" s="2"/>
    </row>
    <row r="38" spans="1:19" x14ac:dyDescent="0.25">
      <c r="A38" s="2"/>
      <c r="B38" s="2"/>
      <c r="C38" s="8" t="s">
        <v>19</v>
      </c>
      <c r="D38" s="2">
        <v>608732.4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9" x14ac:dyDescent="0.25">
      <c r="A39" s="2"/>
      <c r="B39" s="2"/>
      <c r="C39" s="8" t="s">
        <v>20</v>
      </c>
      <c r="D39" s="2">
        <v>623729.19999999995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9" x14ac:dyDescent="0.25">
      <c r="A40" s="1"/>
      <c r="B40" s="1"/>
      <c r="C40" s="1"/>
      <c r="D40" s="1">
        <f>D39-D38</f>
        <v>14996.79999999993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9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9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9" ht="15.75" thickBot="1" x14ac:dyDescent="0.3">
      <c r="A43" s="1"/>
      <c r="B43" s="1"/>
      <c r="C43" s="1"/>
      <c r="D43" s="1"/>
      <c r="E43" s="1"/>
      <c r="F43" s="1"/>
      <c r="G43" s="24"/>
      <c r="H43" s="1"/>
      <c r="I43" s="20"/>
      <c r="J43" s="1"/>
      <c r="K43" s="1"/>
      <c r="L43" s="1"/>
      <c r="M43" s="1"/>
      <c r="N43" s="1"/>
      <c r="O43" s="1"/>
      <c r="P43" s="1"/>
      <c r="Q43" s="1"/>
      <c r="R43" s="1"/>
    </row>
    <row r="44" spans="1:19" ht="15.75" thickBot="1" x14ac:dyDescent="0.3">
      <c r="A44" s="1"/>
      <c r="B44" s="1"/>
      <c r="C44" s="1"/>
      <c r="D44" s="1"/>
      <c r="E44" s="1"/>
      <c r="F44" s="1"/>
      <c r="G44" s="1"/>
      <c r="H44" s="1"/>
      <c r="I44" s="27"/>
      <c r="J44" s="1"/>
      <c r="K44" s="1"/>
      <c r="L44" s="1"/>
      <c r="M44" s="1"/>
      <c r="N44" s="1"/>
      <c r="O44" s="1"/>
      <c r="P44" s="1"/>
      <c r="Q44" s="1"/>
      <c r="R44" s="1"/>
    </row>
    <row r="45" spans="1:19" ht="15.75" thickBot="1" x14ac:dyDescent="0.3">
      <c r="A45" s="1"/>
      <c r="B45" s="1"/>
      <c r="C45" s="1"/>
      <c r="D45" s="1"/>
      <c r="E45" s="1"/>
      <c r="F45" s="1"/>
      <c r="G45" s="1"/>
      <c r="H45" s="1"/>
      <c r="I45" s="28"/>
      <c r="J45" s="1"/>
      <c r="K45" s="1"/>
      <c r="L45" s="1"/>
      <c r="M45" s="1"/>
      <c r="N45" s="1"/>
      <c r="O45" s="1"/>
      <c r="P45" s="1"/>
      <c r="Q45" s="1"/>
      <c r="R45" s="1"/>
    </row>
    <row r="46" spans="1:19" ht="15.75" thickBot="1" x14ac:dyDescent="0.3">
      <c r="A46" s="1"/>
      <c r="B46" s="1"/>
      <c r="C46" s="1"/>
      <c r="D46" s="1"/>
      <c r="E46" s="1"/>
      <c r="F46" s="1"/>
      <c r="G46" s="1"/>
      <c r="H46" s="1"/>
      <c r="I46" s="28"/>
      <c r="J46" s="1"/>
      <c r="K46" s="1"/>
      <c r="L46" s="1"/>
      <c r="M46" s="1"/>
      <c r="N46" s="1"/>
      <c r="O46" s="1"/>
      <c r="P46" s="1"/>
      <c r="Q46" s="1"/>
      <c r="R46" s="1"/>
    </row>
    <row r="47" spans="1:19" ht="15.75" thickBot="1" x14ac:dyDescent="0.3">
      <c r="A47" s="1"/>
      <c r="B47" s="1"/>
      <c r="C47" s="1"/>
      <c r="D47" s="1"/>
      <c r="E47" s="1"/>
      <c r="F47" s="1"/>
      <c r="G47" s="1"/>
      <c r="H47" s="1"/>
      <c r="I47" s="28"/>
      <c r="J47" s="1"/>
      <c r="K47" s="1"/>
      <c r="L47" s="1"/>
      <c r="M47" s="1"/>
      <c r="N47" s="1"/>
      <c r="O47" s="1"/>
      <c r="P47" s="1"/>
      <c r="Q47" s="1"/>
      <c r="R47" s="1"/>
    </row>
    <row r="48" spans="1:19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</sheetData>
  <mergeCells count="2">
    <mergeCell ref="A1:R1"/>
    <mergeCell ref="H36:M36"/>
  </mergeCells>
  <pageMargins left="0.7" right="0.7" top="0.75" bottom="0.75" header="0.3" footer="0.3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49"/>
  <sheetViews>
    <sheetView topLeftCell="A4" zoomScaleNormal="100" workbookViewId="0">
      <selection activeCell="F43" sqref="F43"/>
    </sheetView>
  </sheetViews>
  <sheetFormatPr defaultRowHeight="15" x14ac:dyDescent="0.25"/>
  <cols>
    <col min="1" max="1" width="5.5703125" bestFit="1" customWidth="1"/>
    <col min="2" max="2" width="10.140625" customWidth="1"/>
    <col min="3" max="3" width="18" customWidth="1"/>
    <col min="4" max="4" width="10.42578125" customWidth="1"/>
    <col min="5" max="5" width="8.85546875" customWidth="1"/>
    <col min="6" max="6" width="11.42578125" customWidth="1"/>
    <col min="7" max="7" width="12.7109375" customWidth="1"/>
    <col min="8" max="8" width="11" customWidth="1"/>
    <col min="9" max="9" width="8.28515625" customWidth="1"/>
    <col min="10" max="10" width="9.85546875" customWidth="1"/>
    <col min="11" max="11" width="10.140625" customWidth="1"/>
    <col min="12" max="12" width="8" customWidth="1"/>
    <col min="13" max="13" width="8.7109375" customWidth="1"/>
    <col min="14" max="14" width="13" customWidth="1"/>
    <col min="15" max="15" width="11.5703125" bestFit="1" customWidth="1"/>
    <col min="16" max="16" width="7.42578125" customWidth="1"/>
  </cols>
  <sheetData>
    <row r="1" spans="1:18" ht="40.5" customHeight="1" thickBot="1" x14ac:dyDescent="0.3">
      <c r="A1" s="74" t="s">
        <v>63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6"/>
    </row>
    <row r="2" spans="1:18" ht="51.75" customHeight="1" thickBot="1" x14ac:dyDescent="0.3">
      <c r="A2" s="9" t="s">
        <v>0</v>
      </c>
      <c r="B2" s="10" t="s">
        <v>1</v>
      </c>
      <c r="C2" s="10" t="s">
        <v>2</v>
      </c>
      <c r="D2" s="21" t="s">
        <v>3</v>
      </c>
      <c r="E2" s="21" t="s">
        <v>4</v>
      </c>
      <c r="F2" s="21" t="s">
        <v>5</v>
      </c>
      <c r="G2" s="21" t="s">
        <v>6</v>
      </c>
      <c r="H2" s="21" t="s">
        <v>7</v>
      </c>
      <c r="I2" s="21" t="s">
        <v>8</v>
      </c>
      <c r="J2" s="21" t="s">
        <v>9</v>
      </c>
      <c r="K2" s="21" t="s">
        <v>24</v>
      </c>
      <c r="L2" s="21" t="s">
        <v>23</v>
      </c>
      <c r="M2" s="21" t="s">
        <v>10</v>
      </c>
      <c r="N2" s="21" t="s">
        <v>11</v>
      </c>
      <c r="O2" s="10" t="s">
        <v>12</v>
      </c>
      <c r="P2" s="11" t="s">
        <v>13</v>
      </c>
    </row>
    <row r="3" spans="1:18" x14ac:dyDescent="0.25">
      <c r="A3" s="6">
        <v>1</v>
      </c>
      <c r="B3" s="5">
        <v>45689</v>
      </c>
      <c r="C3" s="4" t="s">
        <v>21</v>
      </c>
      <c r="D3" s="4">
        <v>525800</v>
      </c>
      <c r="E3" s="4">
        <v>17540</v>
      </c>
      <c r="F3" s="4">
        <v>31000</v>
      </c>
      <c r="G3" s="4">
        <v>412900</v>
      </c>
      <c r="H3" s="4">
        <v>28009.97</v>
      </c>
      <c r="I3" s="4">
        <v>52440</v>
      </c>
      <c r="J3" s="4">
        <v>35106</v>
      </c>
      <c r="K3" s="4"/>
      <c r="L3" s="4">
        <v>10804</v>
      </c>
      <c r="M3" s="4">
        <f>D3-E3-I3</f>
        <v>455820</v>
      </c>
      <c r="N3" s="4">
        <f>D3-E3</f>
        <v>508260</v>
      </c>
      <c r="O3" s="4">
        <f>N3*0.55</f>
        <v>279543</v>
      </c>
      <c r="P3" s="12">
        <f>(D3/528000)*100</f>
        <v>99.583333333333329</v>
      </c>
      <c r="Q3">
        <f>(D3+F3)-(E3+G3+H3+I3+J3+K3+L3)</f>
        <v>3.0000000027939677E-2</v>
      </c>
    </row>
    <row r="4" spans="1:18" x14ac:dyDescent="0.25">
      <c r="A4" s="7">
        <v>2</v>
      </c>
      <c r="B4" s="5">
        <v>45690</v>
      </c>
      <c r="C4" s="2" t="s">
        <v>21</v>
      </c>
      <c r="D4" s="2">
        <v>449300</v>
      </c>
      <c r="E4" s="2">
        <v>62515</v>
      </c>
      <c r="F4" s="2">
        <v>63265</v>
      </c>
      <c r="G4" s="2">
        <v>329000</v>
      </c>
      <c r="H4" s="2">
        <v>32732</v>
      </c>
      <c r="I4" s="2">
        <v>45383</v>
      </c>
      <c r="J4" s="2">
        <v>35440</v>
      </c>
      <c r="K4" s="4"/>
      <c r="L4" s="4">
        <v>7495</v>
      </c>
      <c r="M4" s="4">
        <f t="shared" ref="M4:M33" si="0">D4-E4-I4</f>
        <v>341402</v>
      </c>
      <c r="N4" s="4">
        <f t="shared" ref="N4:N33" si="1">D4-E4</f>
        <v>386785</v>
      </c>
      <c r="O4" s="4">
        <f t="shared" ref="O4:O33" si="2">N4*0.55</f>
        <v>212731.75000000003</v>
      </c>
      <c r="P4" s="12">
        <f t="shared" ref="P4:P33" si="3">(D4/528000)*100</f>
        <v>85.094696969696969</v>
      </c>
      <c r="Q4">
        <f t="shared" ref="Q4:Q30" si="4">(D4+F4)-(E4+G4+H4+I4+J4+K4+L4)</f>
        <v>0</v>
      </c>
    </row>
    <row r="5" spans="1:18" x14ac:dyDescent="0.25">
      <c r="A5" s="7">
        <v>3</v>
      </c>
      <c r="B5" s="5">
        <v>45691</v>
      </c>
      <c r="C5" s="2" t="s">
        <v>21</v>
      </c>
      <c r="D5" s="2">
        <v>523400</v>
      </c>
      <c r="E5" s="2">
        <v>1880</v>
      </c>
      <c r="F5" s="2">
        <v>101720</v>
      </c>
      <c r="G5" s="2">
        <v>480000</v>
      </c>
      <c r="H5" s="2">
        <v>45624</v>
      </c>
      <c r="I5" s="2">
        <v>52027</v>
      </c>
      <c r="J5" s="2">
        <v>35524</v>
      </c>
      <c r="K5" s="4"/>
      <c r="L5" s="4">
        <v>10065</v>
      </c>
      <c r="M5" s="4">
        <f t="shared" si="0"/>
        <v>469493</v>
      </c>
      <c r="N5" s="4">
        <f t="shared" si="1"/>
        <v>521520</v>
      </c>
      <c r="O5" s="4">
        <f t="shared" si="2"/>
        <v>286836</v>
      </c>
      <c r="P5" s="12">
        <f t="shared" si="3"/>
        <v>99.12878787878789</v>
      </c>
      <c r="Q5">
        <f t="shared" si="4"/>
        <v>0</v>
      </c>
    </row>
    <row r="6" spans="1:18" x14ac:dyDescent="0.25">
      <c r="A6" s="7">
        <v>4</v>
      </c>
      <c r="B6" s="5">
        <v>45692</v>
      </c>
      <c r="C6" s="2" t="s">
        <v>21</v>
      </c>
      <c r="D6" s="2">
        <v>529400</v>
      </c>
      <c r="E6" s="2">
        <v>2670</v>
      </c>
      <c r="F6" s="2">
        <v>106260</v>
      </c>
      <c r="G6" s="2">
        <v>499500</v>
      </c>
      <c r="H6" s="2">
        <v>34015</v>
      </c>
      <c r="I6" s="2">
        <v>52290</v>
      </c>
      <c r="J6" s="2">
        <v>35960</v>
      </c>
      <c r="K6" s="4"/>
      <c r="L6" s="4">
        <v>11225</v>
      </c>
      <c r="M6" s="4">
        <f t="shared" si="0"/>
        <v>474440</v>
      </c>
      <c r="N6" s="4">
        <f t="shared" si="1"/>
        <v>526730</v>
      </c>
      <c r="O6" s="4">
        <f t="shared" si="2"/>
        <v>289701.5</v>
      </c>
      <c r="P6" s="12">
        <f t="shared" si="3"/>
        <v>100.26515151515152</v>
      </c>
      <c r="Q6">
        <f t="shared" si="4"/>
        <v>0</v>
      </c>
    </row>
    <row r="7" spans="1:18" x14ac:dyDescent="0.25">
      <c r="A7" s="7">
        <v>5</v>
      </c>
      <c r="B7" s="5">
        <v>45693</v>
      </c>
      <c r="C7" s="2" t="s">
        <v>21</v>
      </c>
      <c r="D7" s="2">
        <v>508100</v>
      </c>
      <c r="E7" s="2">
        <v>1720</v>
      </c>
      <c r="F7" s="2">
        <v>116395</v>
      </c>
      <c r="G7" s="2">
        <v>487300</v>
      </c>
      <c r="H7" s="2">
        <v>36232</v>
      </c>
      <c r="I7" s="2">
        <v>53139</v>
      </c>
      <c r="J7" s="2">
        <v>35311</v>
      </c>
      <c r="K7" s="4"/>
      <c r="L7" s="4">
        <v>10793</v>
      </c>
      <c r="M7" s="4">
        <f t="shared" si="0"/>
        <v>453241</v>
      </c>
      <c r="N7" s="4">
        <f t="shared" si="1"/>
        <v>506380</v>
      </c>
      <c r="O7" s="4">
        <f t="shared" si="2"/>
        <v>278509</v>
      </c>
      <c r="P7" s="12">
        <f t="shared" si="3"/>
        <v>96.231060606060609</v>
      </c>
      <c r="Q7">
        <f t="shared" si="4"/>
        <v>0</v>
      </c>
    </row>
    <row r="8" spans="1:18" x14ac:dyDescent="0.25">
      <c r="A8" s="7">
        <v>6</v>
      </c>
      <c r="B8" s="5">
        <v>45694</v>
      </c>
      <c r="C8" s="2" t="s">
        <v>21</v>
      </c>
      <c r="D8" s="2">
        <v>504400</v>
      </c>
      <c r="E8" s="2">
        <v>1285</v>
      </c>
      <c r="F8" s="2">
        <v>180420</v>
      </c>
      <c r="G8" s="2">
        <v>537000</v>
      </c>
      <c r="H8" s="2">
        <v>46810</v>
      </c>
      <c r="I8" s="2">
        <v>53785</v>
      </c>
      <c r="J8" s="2">
        <v>32645</v>
      </c>
      <c r="K8" s="4"/>
      <c r="L8" s="4">
        <v>13295</v>
      </c>
      <c r="M8" s="4">
        <f t="shared" si="0"/>
        <v>449330</v>
      </c>
      <c r="N8" s="4">
        <f t="shared" si="1"/>
        <v>503115</v>
      </c>
      <c r="O8" s="4">
        <f t="shared" si="2"/>
        <v>276713.25</v>
      </c>
      <c r="P8" s="12">
        <f t="shared" si="3"/>
        <v>95.530303030303031</v>
      </c>
      <c r="Q8">
        <f t="shared" si="4"/>
        <v>0</v>
      </c>
    </row>
    <row r="9" spans="1:18" x14ac:dyDescent="0.25">
      <c r="A9" s="7">
        <v>7</v>
      </c>
      <c r="B9" s="5">
        <v>45695</v>
      </c>
      <c r="C9" s="2" t="s">
        <v>21</v>
      </c>
      <c r="D9" s="2">
        <v>500400</v>
      </c>
      <c r="E9" s="2">
        <v>240</v>
      </c>
      <c r="F9" s="2">
        <v>237670</v>
      </c>
      <c r="G9" s="2">
        <v>575600</v>
      </c>
      <c r="H9" s="2">
        <v>61482</v>
      </c>
      <c r="I9" s="2">
        <v>54171</v>
      </c>
      <c r="J9" s="2">
        <v>30888</v>
      </c>
      <c r="K9" s="4"/>
      <c r="L9" s="4">
        <v>15689</v>
      </c>
      <c r="M9" s="4">
        <f t="shared" si="0"/>
        <v>445989</v>
      </c>
      <c r="N9" s="4">
        <f t="shared" si="1"/>
        <v>500160</v>
      </c>
      <c r="O9" s="4">
        <f t="shared" si="2"/>
        <v>275088</v>
      </c>
      <c r="P9" s="12">
        <f t="shared" si="3"/>
        <v>94.77272727272728</v>
      </c>
      <c r="Q9">
        <f t="shared" si="4"/>
        <v>0</v>
      </c>
    </row>
    <row r="10" spans="1:18" x14ac:dyDescent="0.25">
      <c r="A10" s="7">
        <v>8</v>
      </c>
      <c r="B10" s="5">
        <v>45696</v>
      </c>
      <c r="C10" s="2" t="s">
        <v>21</v>
      </c>
      <c r="D10" s="2">
        <v>473700</v>
      </c>
      <c r="E10" s="2">
        <v>35</v>
      </c>
      <c r="F10" s="2">
        <v>236905</v>
      </c>
      <c r="G10" s="2">
        <v>569400</v>
      </c>
      <c r="H10" s="2">
        <v>29900</v>
      </c>
      <c r="I10" s="2">
        <v>51027</v>
      </c>
      <c r="J10" s="2">
        <v>30093</v>
      </c>
      <c r="K10" s="4"/>
      <c r="L10" s="4">
        <v>30150</v>
      </c>
      <c r="M10" s="4">
        <f t="shared" si="0"/>
        <v>422638</v>
      </c>
      <c r="N10" s="4">
        <f t="shared" si="1"/>
        <v>473665</v>
      </c>
      <c r="O10" s="4">
        <f t="shared" si="2"/>
        <v>260515.75000000003</v>
      </c>
      <c r="P10" s="12">
        <f t="shared" si="3"/>
        <v>89.715909090909093</v>
      </c>
      <c r="Q10">
        <f t="shared" si="4"/>
        <v>0</v>
      </c>
    </row>
    <row r="11" spans="1:18" x14ac:dyDescent="0.25">
      <c r="A11" s="7">
        <v>9</v>
      </c>
      <c r="B11" s="5">
        <v>45697</v>
      </c>
      <c r="C11" s="2" t="s">
        <v>21</v>
      </c>
      <c r="D11" s="2">
        <v>477900</v>
      </c>
      <c r="E11" s="2">
        <v>120</v>
      </c>
      <c r="F11" s="2">
        <v>242985</v>
      </c>
      <c r="G11" s="2">
        <v>552000</v>
      </c>
      <c r="H11" s="2">
        <v>62516</v>
      </c>
      <c r="I11" s="2">
        <v>51397</v>
      </c>
      <c r="J11" s="2">
        <v>30880</v>
      </c>
      <c r="K11" s="4"/>
      <c r="L11" s="4">
        <v>23972</v>
      </c>
      <c r="M11" s="4">
        <f t="shared" si="0"/>
        <v>426383</v>
      </c>
      <c r="N11" s="4">
        <f t="shared" si="1"/>
        <v>477780</v>
      </c>
      <c r="O11" s="4">
        <f t="shared" si="2"/>
        <v>262779</v>
      </c>
      <c r="P11" s="12">
        <f t="shared" si="3"/>
        <v>90.51136363636364</v>
      </c>
      <c r="Q11">
        <f t="shared" si="4"/>
        <v>0</v>
      </c>
    </row>
    <row r="12" spans="1:18" x14ac:dyDescent="0.25">
      <c r="A12" s="7">
        <v>10</v>
      </c>
      <c r="B12" s="5">
        <v>45698</v>
      </c>
      <c r="C12" s="2" t="s">
        <v>21</v>
      </c>
      <c r="D12" s="2">
        <v>520600</v>
      </c>
      <c r="E12" s="2">
        <v>685</v>
      </c>
      <c r="F12" s="2">
        <v>222390</v>
      </c>
      <c r="G12" s="2">
        <v>569600</v>
      </c>
      <c r="H12" s="2">
        <v>63550</v>
      </c>
      <c r="I12" s="2">
        <v>52539</v>
      </c>
      <c r="J12" s="2">
        <v>33210</v>
      </c>
      <c r="K12" s="4"/>
      <c r="L12" s="4">
        <v>23406</v>
      </c>
      <c r="M12" s="4">
        <f t="shared" si="0"/>
        <v>467376</v>
      </c>
      <c r="N12" s="4">
        <f t="shared" si="1"/>
        <v>519915</v>
      </c>
      <c r="O12" s="4">
        <f t="shared" si="2"/>
        <v>285953.25</v>
      </c>
      <c r="P12" s="12">
        <f t="shared" si="3"/>
        <v>98.598484848484844</v>
      </c>
      <c r="Q12">
        <f t="shared" si="4"/>
        <v>0</v>
      </c>
    </row>
    <row r="13" spans="1:18" x14ac:dyDescent="0.25">
      <c r="A13" s="7">
        <v>11</v>
      </c>
      <c r="B13" s="5">
        <v>45699</v>
      </c>
      <c r="C13" s="2" t="s">
        <v>21</v>
      </c>
      <c r="D13" s="2">
        <v>525590</v>
      </c>
      <c r="E13" s="2">
        <v>215</v>
      </c>
      <c r="F13" s="2">
        <v>222460</v>
      </c>
      <c r="G13" s="2">
        <v>577800</v>
      </c>
      <c r="H13" s="2">
        <v>71400</v>
      </c>
      <c r="I13" s="2">
        <v>53247</v>
      </c>
      <c r="J13" s="2">
        <v>33776</v>
      </c>
      <c r="K13" s="4"/>
      <c r="L13" s="4">
        <v>11612</v>
      </c>
      <c r="M13" s="4">
        <f t="shared" si="0"/>
        <v>472128</v>
      </c>
      <c r="N13" s="4">
        <f t="shared" si="1"/>
        <v>525375</v>
      </c>
      <c r="O13" s="4">
        <f t="shared" si="2"/>
        <v>288956.25</v>
      </c>
      <c r="P13" s="12">
        <f t="shared" si="3"/>
        <v>99.543560606060609</v>
      </c>
      <c r="Q13">
        <f t="shared" si="4"/>
        <v>0</v>
      </c>
    </row>
    <row r="14" spans="1:18" x14ac:dyDescent="0.25">
      <c r="A14" s="7">
        <v>12</v>
      </c>
      <c r="B14" s="5">
        <v>45700</v>
      </c>
      <c r="C14" s="2" t="s">
        <v>21</v>
      </c>
      <c r="D14" s="2">
        <v>513500</v>
      </c>
      <c r="E14" s="2">
        <v>5</v>
      </c>
      <c r="F14" s="2">
        <v>206240</v>
      </c>
      <c r="G14" s="2">
        <v>580300</v>
      </c>
      <c r="H14" s="2">
        <v>39688</v>
      </c>
      <c r="I14" s="2">
        <v>53757</v>
      </c>
      <c r="J14" s="2">
        <v>33963</v>
      </c>
      <c r="K14" s="4"/>
      <c r="L14" s="4">
        <v>12027</v>
      </c>
      <c r="M14" s="4">
        <f t="shared" si="0"/>
        <v>459738</v>
      </c>
      <c r="N14" s="4">
        <f t="shared" si="1"/>
        <v>513495</v>
      </c>
      <c r="O14" s="4">
        <f t="shared" si="2"/>
        <v>282422.25</v>
      </c>
      <c r="P14" s="12">
        <f t="shared" si="3"/>
        <v>97.253787878787875</v>
      </c>
      <c r="Q14">
        <f t="shared" si="4"/>
        <v>0</v>
      </c>
    </row>
    <row r="15" spans="1:18" x14ac:dyDescent="0.25">
      <c r="A15" s="7">
        <v>13</v>
      </c>
      <c r="B15" s="5">
        <v>45701</v>
      </c>
      <c r="C15" s="2" t="s">
        <v>21</v>
      </c>
      <c r="D15" s="2">
        <v>495900</v>
      </c>
      <c r="E15" s="2">
        <v>135</v>
      </c>
      <c r="F15" s="2">
        <v>247645</v>
      </c>
      <c r="G15" s="2">
        <v>581820</v>
      </c>
      <c r="H15" s="2">
        <v>62221</v>
      </c>
      <c r="I15" s="2">
        <v>54283</v>
      </c>
      <c r="J15" s="2">
        <v>31488</v>
      </c>
      <c r="K15" s="4"/>
      <c r="L15" s="4">
        <v>13598</v>
      </c>
      <c r="M15" s="4">
        <f t="shared" si="0"/>
        <v>441482</v>
      </c>
      <c r="N15" s="4">
        <f t="shared" si="1"/>
        <v>495765</v>
      </c>
      <c r="O15" s="4">
        <f t="shared" si="2"/>
        <v>272670.75</v>
      </c>
      <c r="P15" s="12">
        <f t="shared" si="3"/>
        <v>93.920454545454547</v>
      </c>
      <c r="Q15">
        <f t="shared" si="4"/>
        <v>0</v>
      </c>
      <c r="R15" s="18"/>
    </row>
    <row r="16" spans="1:18" x14ac:dyDescent="0.25">
      <c r="A16" s="7">
        <v>14</v>
      </c>
      <c r="B16" s="5">
        <v>45702</v>
      </c>
      <c r="C16" s="2" t="s">
        <v>21</v>
      </c>
      <c r="D16" s="2">
        <v>499900</v>
      </c>
      <c r="E16" s="2">
        <v>0</v>
      </c>
      <c r="F16" s="2">
        <v>238430</v>
      </c>
      <c r="G16" s="2">
        <v>578574</v>
      </c>
      <c r="H16" s="2">
        <v>48772</v>
      </c>
      <c r="I16" s="2">
        <v>52264</v>
      </c>
      <c r="J16" s="2">
        <v>30420</v>
      </c>
      <c r="K16" s="4">
        <v>8900</v>
      </c>
      <c r="L16" s="4">
        <v>19400</v>
      </c>
      <c r="M16" s="4">
        <f t="shared" si="0"/>
        <v>447636</v>
      </c>
      <c r="N16" s="4">
        <f t="shared" si="1"/>
        <v>499900</v>
      </c>
      <c r="O16" s="4">
        <f t="shared" si="2"/>
        <v>274945</v>
      </c>
      <c r="P16" s="12">
        <f t="shared" si="3"/>
        <v>94.678030303030297</v>
      </c>
      <c r="Q16">
        <f t="shared" si="4"/>
        <v>0</v>
      </c>
    </row>
    <row r="17" spans="1:18" x14ac:dyDescent="0.25">
      <c r="A17" s="7">
        <v>15</v>
      </c>
      <c r="B17" s="5">
        <v>45703</v>
      </c>
      <c r="C17" s="2" t="s">
        <v>21</v>
      </c>
      <c r="D17" s="2">
        <v>503300</v>
      </c>
      <c r="E17" s="2"/>
      <c r="F17" s="2">
        <v>247975</v>
      </c>
      <c r="G17" s="2">
        <v>581635.6</v>
      </c>
      <c r="H17" s="2">
        <v>54121.1</v>
      </c>
      <c r="I17" s="2">
        <v>52394</v>
      </c>
      <c r="J17" s="2">
        <v>31024</v>
      </c>
      <c r="K17" s="4">
        <v>10100</v>
      </c>
      <c r="L17" s="4">
        <v>22000</v>
      </c>
      <c r="M17" s="4">
        <f t="shared" si="0"/>
        <v>450906</v>
      </c>
      <c r="N17" s="4">
        <f t="shared" si="1"/>
        <v>503300</v>
      </c>
      <c r="O17" s="4">
        <f t="shared" si="2"/>
        <v>276815</v>
      </c>
      <c r="P17" s="12">
        <f t="shared" si="3"/>
        <v>95.321969696969703</v>
      </c>
      <c r="Q17">
        <f t="shared" si="4"/>
        <v>0.30000000004656613</v>
      </c>
    </row>
    <row r="18" spans="1:18" x14ac:dyDescent="0.25">
      <c r="A18" s="7">
        <v>16</v>
      </c>
      <c r="B18" s="5">
        <v>45704</v>
      </c>
      <c r="C18" s="2" t="s">
        <v>21</v>
      </c>
      <c r="D18" s="2">
        <v>495500</v>
      </c>
      <c r="E18" s="2">
        <v>40</v>
      </c>
      <c r="F18" s="2">
        <v>249505</v>
      </c>
      <c r="G18" s="2">
        <v>577779</v>
      </c>
      <c r="H18" s="2">
        <v>52542</v>
      </c>
      <c r="I18" s="2">
        <v>53806</v>
      </c>
      <c r="J18" s="2">
        <v>29438</v>
      </c>
      <c r="K18" s="4">
        <v>9500</v>
      </c>
      <c r="L18" s="4">
        <v>21900</v>
      </c>
      <c r="M18" s="4">
        <f t="shared" si="0"/>
        <v>441654</v>
      </c>
      <c r="N18" s="4">
        <f t="shared" si="1"/>
        <v>495460</v>
      </c>
      <c r="O18" s="4">
        <f t="shared" si="2"/>
        <v>272503</v>
      </c>
      <c r="P18" s="12">
        <f t="shared" si="3"/>
        <v>93.844696969696969</v>
      </c>
      <c r="Q18">
        <f t="shared" si="4"/>
        <v>0</v>
      </c>
    </row>
    <row r="19" spans="1:18" x14ac:dyDescent="0.25">
      <c r="A19" s="7">
        <v>17</v>
      </c>
      <c r="B19" s="5">
        <v>45705</v>
      </c>
      <c r="C19" s="2" t="s">
        <v>21</v>
      </c>
      <c r="D19" s="2">
        <v>490900</v>
      </c>
      <c r="E19" s="2">
        <v>215</v>
      </c>
      <c r="F19" s="2">
        <v>231790</v>
      </c>
      <c r="G19" s="2">
        <v>557212</v>
      </c>
      <c r="H19" s="2">
        <v>50367</v>
      </c>
      <c r="I19" s="2">
        <v>52755</v>
      </c>
      <c r="J19" s="2">
        <v>29441</v>
      </c>
      <c r="K19" s="4">
        <v>10800</v>
      </c>
      <c r="L19" s="4">
        <v>21900</v>
      </c>
      <c r="M19" s="4">
        <f t="shared" si="0"/>
        <v>437930</v>
      </c>
      <c r="N19" s="4">
        <f t="shared" si="1"/>
        <v>490685</v>
      </c>
      <c r="O19" s="4">
        <f t="shared" si="2"/>
        <v>269876.75</v>
      </c>
      <c r="P19" s="12">
        <f t="shared" si="3"/>
        <v>92.973484848484844</v>
      </c>
      <c r="Q19">
        <f t="shared" si="4"/>
        <v>0</v>
      </c>
    </row>
    <row r="20" spans="1:18" x14ac:dyDescent="0.25">
      <c r="A20" s="7">
        <v>18</v>
      </c>
      <c r="B20" s="5">
        <v>45706</v>
      </c>
      <c r="C20" s="2" t="s">
        <v>21</v>
      </c>
      <c r="D20" s="2">
        <v>494100</v>
      </c>
      <c r="E20" s="2">
        <v>110</v>
      </c>
      <c r="F20" s="2">
        <v>235210</v>
      </c>
      <c r="G20" s="2">
        <v>550836</v>
      </c>
      <c r="H20" s="2">
        <v>58280</v>
      </c>
      <c r="I20" s="2">
        <v>54962</v>
      </c>
      <c r="J20" s="2">
        <v>29723</v>
      </c>
      <c r="K20" s="4">
        <v>10500</v>
      </c>
      <c r="L20" s="4">
        <v>24900</v>
      </c>
      <c r="M20" s="4">
        <f t="shared" si="0"/>
        <v>439028</v>
      </c>
      <c r="N20" s="4">
        <f t="shared" si="1"/>
        <v>493990</v>
      </c>
      <c r="O20" s="4">
        <f t="shared" si="2"/>
        <v>271694.5</v>
      </c>
      <c r="P20" s="12">
        <f t="shared" si="3"/>
        <v>93.579545454545453</v>
      </c>
      <c r="Q20">
        <f t="shared" si="4"/>
        <v>-1</v>
      </c>
    </row>
    <row r="21" spans="1:18" x14ac:dyDescent="0.25">
      <c r="A21" s="7">
        <v>19</v>
      </c>
      <c r="B21" s="5">
        <v>45707</v>
      </c>
      <c r="C21" s="2" t="s">
        <v>21</v>
      </c>
      <c r="D21" s="2">
        <v>500600</v>
      </c>
      <c r="E21" s="2">
        <v>0</v>
      </c>
      <c r="F21" s="2">
        <v>240825</v>
      </c>
      <c r="G21" s="2">
        <v>578829</v>
      </c>
      <c r="H21" s="2">
        <v>43305</v>
      </c>
      <c r="I21" s="2">
        <v>55878</v>
      </c>
      <c r="J21" s="2">
        <v>29613</v>
      </c>
      <c r="K21" s="4">
        <v>10300</v>
      </c>
      <c r="L21" s="4">
        <v>23500</v>
      </c>
      <c r="M21" s="4">
        <f t="shared" si="0"/>
        <v>444722</v>
      </c>
      <c r="N21" s="4">
        <f t="shared" si="1"/>
        <v>500600</v>
      </c>
      <c r="O21" s="4">
        <f t="shared" si="2"/>
        <v>275330</v>
      </c>
      <c r="P21" s="12">
        <f t="shared" si="3"/>
        <v>94.810606060606062</v>
      </c>
      <c r="Q21">
        <f t="shared" si="4"/>
        <v>0</v>
      </c>
    </row>
    <row r="22" spans="1:18" x14ac:dyDescent="0.25">
      <c r="A22" s="7">
        <v>20</v>
      </c>
      <c r="B22" s="5">
        <v>45708</v>
      </c>
      <c r="C22" s="2" t="s">
        <v>21</v>
      </c>
      <c r="D22" s="2">
        <v>456700</v>
      </c>
      <c r="E22" s="2">
        <v>25</v>
      </c>
      <c r="F22" s="2">
        <v>219140</v>
      </c>
      <c r="G22" s="2">
        <v>518641</v>
      </c>
      <c r="H22" s="2">
        <v>42892</v>
      </c>
      <c r="I22" s="2">
        <v>51155</v>
      </c>
      <c r="J22" s="2">
        <v>27627</v>
      </c>
      <c r="K22" s="4">
        <v>10200</v>
      </c>
      <c r="L22" s="4">
        <v>25300</v>
      </c>
      <c r="M22" s="4">
        <f t="shared" si="0"/>
        <v>405520</v>
      </c>
      <c r="N22" s="4">
        <f t="shared" si="1"/>
        <v>456675</v>
      </c>
      <c r="O22" s="4">
        <f t="shared" si="2"/>
        <v>251171.25000000003</v>
      </c>
      <c r="P22" s="12">
        <f t="shared" si="3"/>
        <v>86.496212121212125</v>
      </c>
      <c r="Q22">
        <f t="shared" si="4"/>
        <v>0</v>
      </c>
    </row>
    <row r="23" spans="1:18" x14ac:dyDescent="0.25">
      <c r="A23" s="7">
        <v>21</v>
      </c>
      <c r="B23" s="5">
        <v>45709</v>
      </c>
      <c r="C23" s="2" t="s">
        <v>21</v>
      </c>
      <c r="D23" s="2">
        <v>499300</v>
      </c>
      <c r="E23" s="2">
        <v>175</v>
      </c>
      <c r="F23" s="2">
        <v>234135</v>
      </c>
      <c r="G23" s="2">
        <v>548151</v>
      </c>
      <c r="H23" s="2">
        <v>63458</v>
      </c>
      <c r="I23" s="2">
        <v>55865</v>
      </c>
      <c r="J23" s="2">
        <v>29485</v>
      </c>
      <c r="K23" s="4">
        <v>10100</v>
      </c>
      <c r="L23" s="4">
        <v>26200</v>
      </c>
      <c r="M23" s="4">
        <f t="shared" si="0"/>
        <v>443260</v>
      </c>
      <c r="N23" s="4">
        <f t="shared" si="1"/>
        <v>499125</v>
      </c>
      <c r="O23" s="4">
        <f t="shared" si="2"/>
        <v>274518.75</v>
      </c>
      <c r="P23" s="12">
        <f t="shared" si="3"/>
        <v>94.564393939393938</v>
      </c>
      <c r="Q23">
        <f t="shared" si="4"/>
        <v>1</v>
      </c>
    </row>
    <row r="24" spans="1:18" x14ac:dyDescent="0.25">
      <c r="A24" s="7">
        <v>22</v>
      </c>
      <c r="B24" s="5">
        <v>45710</v>
      </c>
      <c r="C24" s="2" t="s">
        <v>21</v>
      </c>
      <c r="D24" s="2">
        <v>506400</v>
      </c>
      <c r="E24" s="2">
        <v>175</v>
      </c>
      <c r="F24" s="2">
        <v>235520</v>
      </c>
      <c r="G24" s="2">
        <v>553533</v>
      </c>
      <c r="H24" s="2">
        <v>66758</v>
      </c>
      <c r="I24" s="2">
        <v>52874</v>
      </c>
      <c r="J24" s="2">
        <v>31680</v>
      </c>
      <c r="K24" s="4">
        <v>9700</v>
      </c>
      <c r="L24" s="4">
        <v>27200</v>
      </c>
      <c r="M24" s="4">
        <f t="shared" si="0"/>
        <v>453351</v>
      </c>
      <c r="N24" s="4">
        <f t="shared" si="1"/>
        <v>506225</v>
      </c>
      <c r="O24" s="4">
        <f t="shared" si="2"/>
        <v>278423.75</v>
      </c>
      <c r="P24" s="12">
        <f t="shared" si="3"/>
        <v>95.909090909090907</v>
      </c>
      <c r="Q24">
        <f t="shared" si="4"/>
        <v>0</v>
      </c>
    </row>
    <row r="25" spans="1:18" x14ac:dyDescent="0.25">
      <c r="A25" s="7">
        <v>23</v>
      </c>
      <c r="B25" s="5">
        <v>45711</v>
      </c>
      <c r="C25" s="2" t="s">
        <v>21</v>
      </c>
      <c r="D25" s="2">
        <v>517900</v>
      </c>
      <c r="E25" s="2">
        <v>275</v>
      </c>
      <c r="F25" s="2">
        <v>232110</v>
      </c>
      <c r="G25" s="2">
        <v>561196</v>
      </c>
      <c r="H25" s="2">
        <v>63684</v>
      </c>
      <c r="I25" s="2">
        <v>51972</v>
      </c>
      <c r="J25" s="2">
        <v>33283</v>
      </c>
      <c r="K25" s="4">
        <v>12800</v>
      </c>
      <c r="L25" s="4">
        <v>26800</v>
      </c>
      <c r="M25" s="4">
        <f t="shared" si="0"/>
        <v>465653</v>
      </c>
      <c r="N25" s="4">
        <f t="shared" si="1"/>
        <v>517625</v>
      </c>
      <c r="O25" s="4">
        <f t="shared" si="2"/>
        <v>284693.75</v>
      </c>
      <c r="P25" s="12">
        <f t="shared" si="3"/>
        <v>98.087121212121204</v>
      </c>
      <c r="Q25">
        <f t="shared" si="4"/>
        <v>0</v>
      </c>
    </row>
    <row r="26" spans="1:18" x14ac:dyDescent="0.25">
      <c r="A26" s="7">
        <v>24</v>
      </c>
      <c r="B26" s="5">
        <v>45712</v>
      </c>
      <c r="C26" s="2" t="s">
        <v>21</v>
      </c>
      <c r="D26" s="2">
        <v>487700</v>
      </c>
      <c r="E26" s="2">
        <v>0</v>
      </c>
      <c r="F26" s="2">
        <v>269750</v>
      </c>
      <c r="G26" s="2">
        <v>572499</v>
      </c>
      <c r="H26" s="2">
        <v>61389</v>
      </c>
      <c r="I26" s="2">
        <v>53954</v>
      </c>
      <c r="J26" s="2">
        <v>30708</v>
      </c>
      <c r="K26" s="4">
        <v>12000</v>
      </c>
      <c r="L26" s="4">
        <v>26900</v>
      </c>
      <c r="M26" s="4">
        <f t="shared" si="0"/>
        <v>433746</v>
      </c>
      <c r="N26" s="4">
        <f t="shared" si="1"/>
        <v>487700</v>
      </c>
      <c r="O26" s="4">
        <f t="shared" si="2"/>
        <v>268235</v>
      </c>
      <c r="P26" s="12">
        <f t="shared" si="3"/>
        <v>92.367424242424249</v>
      </c>
      <c r="Q26">
        <f t="shared" si="4"/>
        <v>0</v>
      </c>
    </row>
    <row r="27" spans="1:18" x14ac:dyDescent="0.25">
      <c r="A27" s="7">
        <v>25</v>
      </c>
      <c r="B27" s="5">
        <v>45713</v>
      </c>
      <c r="C27" s="2" t="s">
        <v>21</v>
      </c>
      <c r="D27" s="2">
        <v>485900</v>
      </c>
      <c r="E27" s="2">
        <v>250</v>
      </c>
      <c r="F27" s="2">
        <v>248410</v>
      </c>
      <c r="G27" s="2">
        <v>553038</v>
      </c>
      <c r="H27" s="2">
        <v>62046</v>
      </c>
      <c r="I27" s="2">
        <v>53901</v>
      </c>
      <c r="J27" s="2">
        <v>30075</v>
      </c>
      <c r="K27" s="4">
        <v>10100</v>
      </c>
      <c r="L27" s="4">
        <v>24900</v>
      </c>
      <c r="M27" s="4">
        <f t="shared" si="0"/>
        <v>431749</v>
      </c>
      <c r="N27" s="4">
        <f t="shared" si="1"/>
        <v>485650</v>
      </c>
      <c r="O27" s="4">
        <f t="shared" si="2"/>
        <v>267107.5</v>
      </c>
      <c r="P27" s="12">
        <f t="shared" si="3"/>
        <v>92.026515151515156</v>
      </c>
      <c r="Q27">
        <f t="shared" si="4"/>
        <v>0</v>
      </c>
    </row>
    <row r="28" spans="1:18" x14ac:dyDescent="0.25">
      <c r="A28" s="7">
        <v>26</v>
      </c>
      <c r="B28" s="5">
        <v>45714</v>
      </c>
      <c r="C28" s="2" t="s">
        <v>21</v>
      </c>
      <c r="D28" s="2">
        <v>380100</v>
      </c>
      <c r="E28" s="2">
        <v>46705</v>
      </c>
      <c r="F28" s="2">
        <v>115770</v>
      </c>
      <c r="G28" s="2">
        <v>332529</v>
      </c>
      <c r="H28" s="2">
        <v>31802</v>
      </c>
      <c r="I28" s="2">
        <v>43665</v>
      </c>
      <c r="J28" s="2">
        <v>31968</v>
      </c>
      <c r="K28" s="4">
        <v>3400</v>
      </c>
      <c r="L28" s="4">
        <v>5800</v>
      </c>
      <c r="M28" s="4">
        <f t="shared" si="0"/>
        <v>289730</v>
      </c>
      <c r="N28" s="4">
        <f t="shared" si="1"/>
        <v>333395</v>
      </c>
      <c r="O28" s="4">
        <f t="shared" si="2"/>
        <v>183367.25000000003</v>
      </c>
      <c r="P28" s="12">
        <f t="shared" si="3"/>
        <v>71.98863636363636</v>
      </c>
      <c r="Q28">
        <f t="shared" si="4"/>
        <v>1</v>
      </c>
    </row>
    <row r="29" spans="1:18" x14ac:dyDescent="0.25">
      <c r="A29" s="7">
        <v>27</v>
      </c>
      <c r="B29" s="5">
        <v>45715</v>
      </c>
      <c r="C29" s="2" t="s">
        <v>21</v>
      </c>
      <c r="D29" s="2">
        <v>517800</v>
      </c>
      <c r="E29" s="2">
        <v>3520</v>
      </c>
      <c r="F29" s="2">
        <v>210435</v>
      </c>
      <c r="G29" s="2">
        <v>577047</v>
      </c>
      <c r="H29" s="2">
        <v>45880</v>
      </c>
      <c r="I29" s="2">
        <v>52922</v>
      </c>
      <c r="J29" s="2">
        <v>32466</v>
      </c>
      <c r="K29" s="4">
        <v>4100</v>
      </c>
      <c r="L29" s="4">
        <v>12300</v>
      </c>
      <c r="M29" s="4">
        <f t="shared" si="0"/>
        <v>461358</v>
      </c>
      <c r="N29" s="4">
        <f t="shared" si="1"/>
        <v>514280</v>
      </c>
      <c r="O29" s="4">
        <f t="shared" si="2"/>
        <v>282854</v>
      </c>
      <c r="P29" s="12">
        <f t="shared" si="3"/>
        <v>98.068181818181827</v>
      </c>
      <c r="Q29">
        <f t="shared" si="4"/>
        <v>0</v>
      </c>
    </row>
    <row r="30" spans="1:18" s="18" customFormat="1" x14ac:dyDescent="0.25">
      <c r="A30" s="14">
        <v>28</v>
      </c>
      <c r="B30" s="15">
        <v>45716</v>
      </c>
      <c r="C30" s="14" t="s">
        <v>21</v>
      </c>
      <c r="D30" s="14">
        <v>521500</v>
      </c>
      <c r="E30" s="14">
        <v>55</v>
      </c>
      <c r="F30" s="14">
        <v>250405</v>
      </c>
      <c r="G30" s="14">
        <v>585030</v>
      </c>
      <c r="H30" s="14">
        <v>58296</v>
      </c>
      <c r="I30" s="14">
        <v>53998</v>
      </c>
      <c r="J30" s="14">
        <v>32826</v>
      </c>
      <c r="K30" s="22">
        <v>18200</v>
      </c>
      <c r="L30" s="16">
        <v>23500</v>
      </c>
      <c r="M30" s="16">
        <f t="shared" si="0"/>
        <v>467447</v>
      </c>
      <c r="N30" s="16">
        <f t="shared" si="1"/>
        <v>521445</v>
      </c>
      <c r="O30" s="16">
        <f t="shared" si="2"/>
        <v>286794.75</v>
      </c>
      <c r="P30" s="17">
        <f t="shared" si="3"/>
        <v>98.768939393939391</v>
      </c>
      <c r="Q30">
        <f t="shared" si="4"/>
        <v>0</v>
      </c>
      <c r="R30"/>
    </row>
    <row r="31" spans="1:18" x14ac:dyDescent="0.25">
      <c r="A31" s="7">
        <v>29</v>
      </c>
      <c r="B31" s="5" t="s">
        <v>51</v>
      </c>
      <c r="C31" s="2" t="s">
        <v>21</v>
      </c>
      <c r="D31" s="2"/>
      <c r="E31" s="2"/>
      <c r="F31" s="2"/>
      <c r="G31" s="2"/>
      <c r="H31" s="2"/>
      <c r="I31" s="2"/>
      <c r="J31" s="2"/>
      <c r="K31" s="4"/>
      <c r="L31" s="4"/>
      <c r="M31" s="4">
        <f t="shared" si="0"/>
        <v>0</v>
      </c>
      <c r="N31" s="4">
        <f t="shared" si="1"/>
        <v>0</v>
      </c>
      <c r="O31" s="4">
        <f t="shared" si="2"/>
        <v>0</v>
      </c>
      <c r="P31" s="12">
        <f t="shared" si="3"/>
        <v>0</v>
      </c>
    </row>
    <row r="32" spans="1:18" x14ac:dyDescent="0.25">
      <c r="A32" s="7">
        <v>30</v>
      </c>
      <c r="B32" s="5" t="s">
        <v>52</v>
      </c>
      <c r="C32" s="2" t="s">
        <v>21</v>
      </c>
      <c r="D32" s="2"/>
      <c r="E32" s="2"/>
      <c r="F32" s="2"/>
      <c r="G32" s="2"/>
      <c r="H32" s="2"/>
      <c r="I32" s="2"/>
      <c r="J32" s="2"/>
      <c r="K32" s="4"/>
      <c r="L32" s="4"/>
      <c r="M32" s="4">
        <f t="shared" si="0"/>
        <v>0</v>
      </c>
      <c r="N32" s="4">
        <f t="shared" si="1"/>
        <v>0</v>
      </c>
      <c r="O32" s="4">
        <f t="shared" si="2"/>
        <v>0</v>
      </c>
      <c r="P32" s="12">
        <f t="shared" si="3"/>
        <v>0</v>
      </c>
    </row>
    <row r="33" spans="1:16" x14ac:dyDescent="0.25">
      <c r="A33" s="7">
        <v>31</v>
      </c>
      <c r="B33" s="5" t="s">
        <v>53</v>
      </c>
      <c r="C33" s="2" t="s">
        <v>21</v>
      </c>
      <c r="D33" s="2"/>
      <c r="E33" s="2"/>
      <c r="F33" s="2"/>
      <c r="G33" s="2"/>
      <c r="H33" s="2"/>
      <c r="I33" s="2"/>
      <c r="J33" s="2"/>
      <c r="K33" s="4"/>
      <c r="L33" s="4"/>
      <c r="M33" s="4">
        <f t="shared" si="0"/>
        <v>0</v>
      </c>
      <c r="N33" s="4">
        <f t="shared" si="1"/>
        <v>0</v>
      </c>
      <c r="O33" s="4">
        <f t="shared" si="2"/>
        <v>0</v>
      </c>
      <c r="P33" s="12">
        <f t="shared" si="3"/>
        <v>0</v>
      </c>
    </row>
    <row r="34" spans="1:16" x14ac:dyDescent="0.25">
      <c r="A34" s="2"/>
      <c r="B34" s="2"/>
      <c r="C34" s="8" t="s">
        <v>15</v>
      </c>
      <c r="D34" s="8">
        <f>SUM(D3:D33)</f>
        <v>13905590</v>
      </c>
      <c r="E34" s="8">
        <f t="shared" ref="E34:O34" si="5">SUM(E3:E33)</f>
        <v>140590</v>
      </c>
      <c r="F34" s="8">
        <f t="shared" si="5"/>
        <v>5674765</v>
      </c>
      <c r="G34" s="8">
        <f t="shared" si="5"/>
        <v>14978749.6</v>
      </c>
      <c r="H34" s="23">
        <f>SUM(H3:H33)</f>
        <v>1417772.0699999998</v>
      </c>
      <c r="I34" s="8">
        <f t="shared" si="5"/>
        <v>1471850</v>
      </c>
      <c r="J34" s="8">
        <f t="shared" si="5"/>
        <v>894061</v>
      </c>
      <c r="K34" s="8">
        <f>SUM(K3:K33)</f>
        <v>150700</v>
      </c>
      <c r="L34" s="8">
        <f>SUM(L3:L33)</f>
        <v>526631</v>
      </c>
      <c r="M34" s="8">
        <f t="shared" si="5"/>
        <v>12293150</v>
      </c>
      <c r="N34" s="8">
        <f t="shared" si="5"/>
        <v>13765000</v>
      </c>
      <c r="O34" s="8">
        <f t="shared" si="5"/>
        <v>7570750</v>
      </c>
      <c r="P34" s="13">
        <f>SUM(P3:P33)/28</f>
        <v>94.058373917748924</v>
      </c>
    </row>
    <row r="35" spans="1:16" x14ac:dyDescent="0.25">
      <c r="A35" s="2"/>
      <c r="B35" s="2"/>
      <c r="C35" s="8" t="s">
        <v>16</v>
      </c>
      <c r="D35" s="2">
        <v>13905500</v>
      </c>
      <c r="E35" s="2">
        <v>148249</v>
      </c>
      <c r="F35" s="2">
        <v>5640420</v>
      </c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25">
      <c r="A36" s="2"/>
      <c r="B36" s="2"/>
      <c r="C36" s="8" t="s">
        <v>17</v>
      </c>
      <c r="D36" s="2">
        <f>D34-D35</f>
        <v>90</v>
      </c>
      <c r="E36" s="2">
        <f>E34-E35</f>
        <v>-7659</v>
      </c>
      <c r="F36" s="2">
        <f>F34-F35</f>
        <v>34345</v>
      </c>
      <c r="G36" s="63">
        <f>F36-E36+D36</f>
        <v>42094</v>
      </c>
      <c r="H36" s="64"/>
      <c r="I36" s="64"/>
      <c r="J36" s="64"/>
      <c r="K36" s="64"/>
      <c r="L36" s="65"/>
      <c r="M36" s="2"/>
      <c r="N36" s="2"/>
      <c r="O36" s="2"/>
      <c r="P36" s="2"/>
    </row>
    <row r="37" spans="1:16" x14ac:dyDescent="0.25">
      <c r="A37" s="2"/>
      <c r="B37" s="2"/>
      <c r="C37" s="8" t="s">
        <v>18</v>
      </c>
      <c r="D37" s="2"/>
      <c r="E37" s="2"/>
      <c r="F37" s="2"/>
      <c r="G37" s="2">
        <v>14957703.27</v>
      </c>
      <c r="H37" s="2">
        <v>1409353.54</v>
      </c>
      <c r="I37" s="2"/>
      <c r="J37" s="2">
        <v>881433.2</v>
      </c>
      <c r="K37" s="2"/>
      <c r="L37" s="2"/>
      <c r="M37" s="2"/>
      <c r="N37" s="2"/>
      <c r="O37" s="2"/>
      <c r="P37" s="2"/>
    </row>
    <row r="38" spans="1:16" x14ac:dyDescent="0.25">
      <c r="A38" s="2"/>
      <c r="B38" s="2"/>
      <c r="C38" s="8" t="s">
        <v>19</v>
      </c>
      <c r="D38" s="2">
        <v>594826.9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25">
      <c r="A39" s="2"/>
      <c r="B39" s="2"/>
      <c r="C39" s="8" t="s">
        <v>20</v>
      </c>
      <c r="D39" s="2">
        <v>608732.4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25">
      <c r="A40" s="1"/>
      <c r="B40" s="1"/>
      <c r="C40" s="1"/>
      <c r="D40" s="1">
        <f>D39-D38</f>
        <v>13905.5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25">
      <c r="A42" s="1"/>
      <c r="B42" s="1"/>
      <c r="C42" s="1"/>
      <c r="D42" s="1"/>
      <c r="E42" s="1"/>
      <c r="F42" s="1">
        <f>D34-E34</f>
        <v>13765000</v>
      </c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25">
      <c r="A43" s="1"/>
      <c r="B43" s="1"/>
      <c r="C43" s="1"/>
      <c r="D43" s="1"/>
      <c r="E43" s="1"/>
      <c r="F43" s="24"/>
      <c r="G43" s="1"/>
      <c r="H43" s="20"/>
      <c r="I43" s="1"/>
      <c r="J43" s="1"/>
      <c r="K43" s="1"/>
      <c r="L43" s="1"/>
      <c r="M43" s="1"/>
      <c r="N43" s="1"/>
      <c r="O43" s="1"/>
      <c r="P43" s="1"/>
    </row>
    <row r="44" spans="1:16" x14ac:dyDescent="0.25">
      <c r="A44" s="1"/>
      <c r="B44" s="1"/>
      <c r="C44" s="1"/>
      <c r="D44" s="1"/>
      <c r="E44" s="1"/>
      <c r="F44" s="1"/>
      <c r="G44" s="1"/>
      <c r="H44" s="20"/>
      <c r="I44" s="1"/>
      <c r="J44" s="1"/>
      <c r="K44" s="1"/>
      <c r="L44" s="1"/>
      <c r="M44" s="1"/>
      <c r="N44" s="1"/>
      <c r="O44" s="1"/>
      <c r="P44" s="1"/>
    </row>
    <row r="45" spans="1:16" x14ac:dyDescent="0.25">
      <c r="A45" s="1"/>
      <c r="B45" s="1"/>
      <c r="C45" s="1"/>
      <c r="D45" s="1"/>
      <c r="E45" s="1"/>
      <c r="F45" s="1"/>
      <c r="G45" s="1"/>
      <c r="H45" s="20"/>
      <c r="I45" s="1"/>
      <c r="J45" s="1"/>
      <c r="K45" s="1"/>
      <c r="L45" s="1"/>
      <c r="M45" s="1"/>
      <c r="N45" s="1"/>
      <c r="O45" s="1"/>
      <c r="P45" s="1"/>
    </row>
    <row r="46" spans="1:1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</sheetData>
  <mergeCells count="2">
    <mergeCell ref="A1:P1"/>
    <mergeCell ref="G36:L36"/>
  </mergeCells>
  <pageMargins left="0.7" right="0.7" top="0.75" bottom="0.75" header="0.3" footer="0.3"/>
  <pageSetup paperSize="9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49"/>
  <sheetViews>
    <sheetView topLeftCell="C10" zoomScaleNormal="100" workbookViewId="0">
      <selection activeCell="H38" sqref="H38"/>
    </sheetView>
  </sheetViews>
  <sheetFormatPr defaultRowHeight="15" x14ac:dyDescent="0.25"/>
  <cols>
    <col min="1" max="1" width="5.5703125" bestFit="1" customWidth="1"/>
    <col min="2" max="2" width="10.140625" customWidth="1"/>
    <col min="3" max="3" width="17.5703125" customWidth="1"/>
    <col min="4" max="4" width="13.7109375" bestFit="1" customWidth="1"/>
    <col min="5" max="5" width="12" bestFit="1" customWidth="1"/>
    <col min="6" max="6" width="11.85546875" bestFit="1" customWidth="1"/>
    <col min="7" max="8" width="17.28515625" bestFit="1" customWidth="1"/>
    <col min="10" max="10" width="16.28515625" bestFit="1" customWidth="1"/>
    <col min="11" max="11" width="10.42578125" bestFit="1" customWidth="1"/>
    <col min="12" max="12" width="25.140625" customWidth="1"/>
    <col min="13" max="13" width="11.5703125" bestFit="1" customWidth="1"/>
  </cols>
  <sheetData>
    <row r="1" spans="1:17" ht="40.5" customHeight="1" thickBot="1" x14ac:dyDescent="0.3">
      <c r="A1" s="74" t="s">
        <v>22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6"/>
    </row>
    <row r="2" spans="1:17" ht="15.75" thickBot="1" x14ac:dyDescent="0.3">
      <c r="A2" s="9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0" t="s">
        <v>10</v>
      </c>
      <c r="L2" s="10" t="s">
        <v>11</v>
      </c>
      <c r="M2" s="10" t="s">
        <v>12</v>
      </c>
      <c r="N2" s="11" t="s">
        <v>13</v>
      </c>
    </row>
    <row r="3" spans="1:17" x14ac:dyDescent="0.25">
      <c r="A3" s="6">
        <v>1</v>
      </c>
      <c r="B3" s="5">
        <v>45658</v>
      </c>
      <c r="C3" s="4" t="s">
        <v>21</v>
      </c>
      <c r="D3" s="4">
        <v>477500</v>
      </c>
      <c r="E3" s="4">
        <v>383090</v>
      </c>
      <c r="F3" s="4">
        <v>0</v>
      </c>
      <c r="G3" s="4">
        <v>8583</v>
      </c>
      <c r="H3" s="4">
        <v>4393</v>
      </c>
      <c r="I3" s="4">
        <v>48116</v>
      </c>
      <c r="J3" s="4">
        <v>33318</v>
      </c>
      <c r="K3" s="4">
        <f>D3-E3-I3</f>
        <v>46294</v>
      </c>
      <c r="L3" s="4">
        <f>D3-E3</f>
        <v>94410</v>
      </c>
      <c r="M3" s="4">
        <f>L3*0.55</f>
        <v>51925.500000000007</v>
      </c>
      <c r="N3" s="12">
        <f>(D3/528000)*100</f>
        <v>90.435606060606062</v>
      </c>
      <c r="O3" s="19"/>
      <c r="P3" s="19"/>
      <c r="Q3" s="19"/>
    </row>
    <row r="4" spans="1:17" x14ac:dyDescent="0.25">
      <c r="A4" s="7">
        <v>2</v>
      </c>
      <c r="B4" s="5">
        <v>45659</v>
      </c>
      <c r="C4" s="2" t="s">
        <v>21</v>
      </c>
      <c r="D4" s="2">
        <v>489200</v>
      </c>
      <c r="E4" s="2">
        <v>391640</v>
      </c>
      <c r="F4" s="2">
        <v>0</v>
      </c>
      <c r="G4" s="2">
        <v>9370</v>
      </c>
      <c r="H4" s="2">
        <v>4512</v>
      </c>
      <c r="I4" s="2">
        <v>50786</v>
      </c>
      <c r="J4" s="2">
        <v>32892</v>
      </c>
      <c r="K4" s="4">
        <f t="shared" ref="K4:K33" si="0">D4-E4-I4</f>
        <v>46774</v>
      </c>
      <c r="L4" s="4">
        <f t="shared" ref="L4:L33" si="1">D4-E4</f>
        <v>97560</v>
      </c>
      <c r="M4" s="4">
        <f t="shared" ref="M4:M33" si="2">L4*0.55</f>
        <v>53658.000000000007</v>
      </c>
      <c r="N4" s="12">
        <f t="shared" ref="N4:N33" si="3">(D4/528000)*100</f>
        <v>92.651515151515156</v>
      </c>
      <c r="O4" s="19"/>
      <c r="P4" s="19"/>
      <c r="Q4" s="19"/>
    </row>
    <row r="5" spans="1:17" x14ac:dyDescent="0.25">
      <c r="A5" s="7">
        <v>3</v>
      </c>
      <c r="B5" s="5">
        <v>45660</v>
      </c>
      <c r="C5" s="2" t="s">
        <v>21</v>
      </c>
      <c r="D5" s="2">
        <v>478800</v>
      </c>
      <c r="E5" s="2">
        <v>381635</v>
      </c>
      <c r="F5" s="2">
        <v>0</v>
      </c>
      <c r="G5" s="2">
        <v>8508</v>
      </c>
      <c r="H5" s="2">
        <v>5699</v>
      </c>
      <c r="I5" s="2">
        <v>50597</v>
      </c>
      <c r="J5" s="2">
        <v>32360</v>
      </c>
      <c r="K5" s="4">
        <f t="shared" si="0"/>
        <v>46568</v>
      </c>
      <c r="L5" s="4">
        <f t="shared" si="1"/>
        <v>97165</v>
      </c>
      <c r="M5" s="4">
        <f t="shared" si="2"/>
        <v>53440.750000000007</v>
      </c>
      <c r="N5" s="12">
        <f t="shared" si="3"/>
        <v>90.681818181818187</v>
      </c>
      <c r="O5" s="19"/>
      <c r="P5" s="19"/>
      <c r="Q5" s="19"/>
    </row>
    <row r="6" spans="1:17" x14ac:dyDescent="0.25">
      <c r="A6" s="7">
        <v>4</v>
      </c>
      <c r="B6" s="5">
        <v>45661</v>
      </c>
      <c r="C6" s="2" t="s">
        <v>21</v>
      </c>
      <c r="D6" s="2">
        <v>482400</v>
      </c>
      <c r="E6" s="2">
        <v>391595</v>
      </c>
      <c r="F6" s="2">
        <v>0</v>
      </c>
      <c r="G6" s="2">
        <v>2709</v>
      </c>
      <c r="H6" s="2">
        <v>6240</v>
      </c>
      <c r="I6" s="2">
        <v>49835</v>
      </c>
      <c r="J6" s="2">
        <v>32021</v>
      </c>
      <c r="K6" s="4">
        <f t="shared" si="0"/>
        <v>40970</v>
      </c>
      <c r="L6" s="4">
        <f t="shared" si="1"/>
        <v>90805</v>
      </c>
      <c r="M6" s="4">
        <f t="shared" si="2"/>
        <v>49942.750000000007</v>
      </c>
      <c r="N6" s="12">
        <f t="shared" si="3"/>
        <v>91.363636363636374</v>
      </c>
      <c r="O6" s="19"/>
      <c r="P6" s="19"/>
      <c r="Q6" s="19"/>
    </row>
    <row r="7" spans="1:17" x14ac:dyDescent="0.25">
      <c r="A7" s="7">
        <v>5</v>
      </c>
      <c r="B7" s="5">
        <v>45662</v>
      </c>
      <c r="C7" s="2" t="s">
        <v>21</v>
      </c>
      <c r="D7" s="2">
        <v>489600</v>
      </c>
      <c r="E7" s="2">
        <v>392855</v>
      </c>
      <c r="F7" s="2">
        <v>0</v>
      </c>
      <c r="G7" s="2">
        <v>6222</v>
      </c>
      <c r="H7" s="2">
        <v>7653</v>
      </c>
      <c r="I7" s="2">
        <v>51253</v>
      </c>
      <c r="J7" s="2">
        <v>31618</v>
      </c>
      <c r="K7" s="4">
        <f t="shared" si="0"/>
        <v>45492</v>
      </c>
      <c r="L7" s="4">
        <f t="shared" si="1"/>
        <v>96745</v>
      </c>
      <c r="M7" s="4">
        <f t="shared" si="2"/>
        <v>53209.750000000007</v>
      </c>
      <c r="N7" s="12">
        <f t="shared" si="3"/>
        <v>92.72727272727272</v>
      </c>
      <c r="O7" s="19"/>
      <c r="P7" s="19"/>
      <c r="Q7" s="19"/>
    </row>
    <row r="8" spans="1:17" x14ac:dyDescent="0.25">
      <c r="A8" s="7">
        <v>6</v>
      </c>
      <c r="B8" s="5">
        <v>45663</v>
      </c>
      <c r="C8" s="2" t="s">
        <v>21</v>
      </c>
      <c r="D8" s="2">
        <v>501200</v>
      </c>
      <c r="E8" s="2">
        <v>401510</v>
      </c>
      <c r="F8" s="2">
        <v>0</v>
      </c>
      <c r="G8" s="2">
        <v>7504</v>
      </c>
      <c r="H8" s="2">
        <v>6517</v>
      </c>
      <c r="I8" s="2">
        <v>50546</v>
      </c>
      <c r="J8" s="2">
        <v>35123</v>
      </c>
      <c r="K8" s="4">
        <f t="shared" si="0"/>
        <v>49144</v>
      </c>
      <c r="L8" s="4">
        <f t="shared" si="1"/>
        <v>99690</v>
      </c>
      <c r="M8" s="4">
        <f t="shared" si="2"/>
        <v>54829.500000000007</v>
      </c>
      <c r="N8" s="12">
        <f t="shared" si="3"/>
        <v>94.924242424242422</v>
      </c>
      <c r="O8" s="19"/>
      <c r="P8" s="19"/>
      <c r="Q8" s="19"/>
    </row>
    <row r="9" spans="1:17" x14ac:dyDescent="0.25">
      <c r="A9" s="7">
        <v>7</v>
      </c>
      <c r="B9" s="5">
        <v>45664</v>
      </c>
      <c r="C9" s="2" t="s">
        <v>21</v>
      </c>
      <c r="D9" s="2">
        <v>509500</v>
      </c>
      <c r="E9" s="2">
        <v>411185</v>
      </c>
      <c r="F9" s="2">
        <v>0</v>
      </c>
      <c r="G9" s="2">
        <v>7484</v>
      </c>
      <c r="H9" s="2">
        <v>5499</v>
      </c>
      <c r="I9" s="2">
        <v>50324</v>
      </c>
      <c r="J9" s="2">
        <v>35007</v>
      </c>
      <c r="K9" s="4">
        <f t="shared" si="0"/>
        <v>47991</v>
      </c>
      <c r="L9" s="4">
        <f t="shared" si="1"/>
        <v>98315</v>
      </c>
      <c r="M9" s="4">
        <f t="shared" si="2"/>
        <v>54073.250000000007</v>
      </c>
      <c r="N9" s="12">
        <f t="shared" si="3"/>
        <v>96.496212121212125</v>
      </c>
      <c r="O9" s="19"/>
      <c r="P9" s="19"/>
      <c r="Q9" s="19"/>
    </row>
    <row r="10" spans="1:17" x14ac:dyDescent="0.25">
      <c r="A10" s="7">
        <v>8</v>
      </c>
      <c r="B10" s="5">
        <v>45665</v>
      </c>
      <c r="C10" s="2" t="s">
        <v>21</v>
      </c>
      <c r="D10" s="2">
        <v>508000</v>
      </c>
      <c r="E10" s="2">
        <v>409340</v>
      </c>
      <c r="F10" s="2">
        <v>0</v>
      </c>
      <c r="G10" s="2">
        <v>7511</v>
      </c>
      <c r="H10" s="2">
        <v>6216</v>
      </c>
      <c r="I10" s="2">
        <v>50151</v>
      </c>
      <c r="J10" s="2">
        <v>34783</v>
      </c>
      <c r="K10" s="4">
        <f t="shared" si="0"/>
        <v>48509</v>
      </c>
      <c r="L10" s="4">
        <f t="shared" si="1"/>
        <v>98660</v>
      </c>
      <c r="M10" s="4">
        <f t="shared" si="2"/>
        <v>54263.000000000007</v>
      </c>
      <c r="N10" s="12">
        <f t="shared" si="3"/>
        <v>96.212121212121218</v>
      </c>
      <c r="O10" s="19"/>
      <c r="P10" s="19"/>
      <c r="Q10" s="19"/>
    </row>
    <row r="11" spans="1:17" x14ac:dyDescent="0.25">
      <c r="A11" s="7">
        <v>9</v>
      </c>
      <c r="B11" s="5">
        <v>45666</v>
      </c>
      <c r="C11" s="2" t="s">
        <v>21</v>
      </c>
      <c r="D11" s="2">
        <v>508800</v>
      </c>
      <c r="E11" s="2">
        <v>411730</v>
      </c>
      <c r="F11" s="2">
        <v>0</v>
      </c>
      <c r="G11" s="2">
        <v>6844</v>
      </c>
      <c r="H11" s="2">
        <v>6141</v>
      </c>
      <c r="I11" s="2">
        <v>50034</v>
      </c>
      <c r="J11" s="2">
        <v>34051</v>
      </c>
      <c r="K11" s="4">
        <f t="shared" si="0"/>
        <v>47036</v>
      </c>
      <c r="L11" s="4">
        <f t="shared" si="1"/>
        <v>97070</v>
      </c>
      <c r="M11" s="4">
        <f t="shared" si="2"/>
        <v>53388.500000000007</v>
      </c>
      <c r="N11" s="12">
        <f t="shared" si="3"/>
        <v>96.36363636363636</v>
      </c>
      <c r="O11" s="19"/>
      <c r="P11" s="19"/>
      <c r="Q11" s="19"/>
    </row>
    <row r="12" spans="1:17" x14ac:dyDescent="0.25">
      <c r="A12" s="7">
        <v>10</v>
      </c>
      <c r="B12" s="5">
        <v>45667</v>
      </c>
      <c r="C12" s="2" t="s">
        <v>21</v>
      </c>
      <c r="D12" s="2">
        <v>509100</v>
      </c>
      <c r="E12" s="2">
        <v>413270</v>
      </c>
      <c r="F12" s="2">
        <v>0</v>
      </c>
      <c r="G12" s="2">
        <v>6693</v>
      </c>
      <c r="H12" s="2">
        <v>6216</v>
      </c>
      <c r="I12" s="2">
        <v>49460</v>
      </c>
      <c r="J12" s="2">
        <v>33461</v>
      </c>
      <c r="K12" s="4">
        <f t="shared" si="0"/>
        <v>46370</v>
      </c>
      <c r="L12" s="4">
        <f t="shared" si="1"/>
        <v>95830</v>
      </c>
      <c r="M12" s="4">
        <f t="shared" si="2"/>
        <v>52706.500000000007</v>
      </c>
      <c r="N12" s="12">
        <f t="shared" si="3"/>
        <v>96.420454545454547</v>
      </c>
      <c r="O12" s="19"/>
      <c r="P12" s="19"/>
      <c r="Q12" s="19"/>
    </row>
    <row r="13" spans="1:17" x14ac:dyDescent="0.25">
      <c r="A13" s="7">
        <v>11</v>
      </c>
      <c r="B13" s="5">
        <v>45668</v>
      </c>
      <c r="C13" s="2" t="s">
        <v>21</v>
      </c>
      <c r="D13" s="2">
        <v>493600</v>
      </c>
      <c r="E13" s="2">
        <v>397725</v>
      </c>
      <c r="F13" s="2">
        <v>0</v>
      </c>
      <c r="G13" s="2">
        <v>7688</v>
      </c>
      <c r="H13" s="2">
        <v>7011</v>
      </c>
      <c r="I13" s="2">
        <v>47334</v>
      </c>
      <c r="J13" s="2">
        <v>33842</v>
      </c>
      <c r="K13" s="4">
        <f t="shared" si="0"/>
        <v>48541</v>
      </c>
      <c r="L13" s="4">
        <f t="shared" si="1"/>
        <v>95875</v>
      </c>
      <c r="M13" s="4">
        <f t="shared" si="2"/>
        <v>52731.250000000007</v>
      </c>
      <c r="N13" s="12">
        <f t="shared" si="3"/>
        <v>93.484848484848484</v>
      </c>
      <c r="O13" s="19"/>
      <c r="P13" s="19"/>
      <c r="Q13" s="19"/>
    </row>
    <row r="14" spans="1:17" x14ac:dyDescent="0.25">
      <c r="A14" s="7">
        <v>12</v>
      </c>
      <c r="B14" s="5">
        <v>45669</v>
      </c>
      <c r="C14" s="2" t="s">
        <v>21</v>
      </c>
      <c r="D14" s="2">
        <v>507200</v>
      </c>
      <c r="E14" s="2">
        <v>411600</v>
      </c>
      <c r="F14" s="2">
        <v>0</v>
      </c>
      <c r="G14" s="2">
        <v>7883</v>
      </c>
      <c r="H14" s="2">
        <v>4488</v>
      </c>
      <c r="I14" s="2">
        <v>48086</v>
      </c>
      <c r="J14" s="2">
        <v>35143</v>
      </c>
      <c r="K14" s="4">
        <f t="shared" si="0"/>
        <v>47514</v>
      </c>
      <c r="L14" s="4">
        <f t="shared" si="1"/>
        <v>95600</v>
      </c>
      <c r="M14" s="4">
        <f t="shared" si="2"/>
        <v>52580.000000000007</v>
      </c>
      <c r="N14" s="12">
        <f t="shared" si="3"/>
        <v>96.060606060606062</v>
      </c>
      <c r="O14" s="19"/>
      <c r="P14" s="19"/>
      <c r="Q14" s="19"/>
    </row>
    <row r="15" spans="1:17" x14ac:dyDescent="0.25">
      <c r="A15" s="7">
        <v>13</v>
      </c>
      <c r="B15" s="5">
        <v>45670</v>
      </c>
      <c r="C15" s="2" t="s">
        <v>21</v>
      </c>
      <c r="D15" s="2">
        <v>494800</v>
      </c>
      <c r="E15" s="2">
        <v>394025</v>
      </c>
      <c r="F15" s="2">
        <v>0</v>
      </c>
      <c r="G15" s="2">
        <v>7887</v>
      </c>
      <c r="H15" s="2">
        <v>7348</v>
      </c>
      <c r="I15" s="2">
        <v>49882</v>
      </c>
      <c r="J15" s="2">
        <v>35658</v>
      </c>
      <c r="K15" s="4">
        <f t="shared" si="0"/>
        <v>50893</v>
      </c>
      <c r="L15" s="4">
        <f t="shared" si="1"/>
        <v>100775</v>
      </c>
      <c r="M15" s="4">
        <f t="shared" si="2"/>
        <v>55426.250000000007</v>
      </c>
      <c r="N15" s="12">
        <f t="shared" si="3"/>
        <v>93.712121212121218</v>
      </c>
      <c r="O15" s="19"/>
      <c r="P15" s="19"/>
      <c r="Q15" s="19"/>
    </row>
    <row r="16" spans="1:17" x14ac:dyDescent="0.25">
      <c r="A16" s="7">
        <v>14</v>
      </c>
      <c r="B16" s="5">
        <v>45671</v>
      </c>
      <c r="C16" s="2" t="s">
        <v>21</v>
      </c>
      <c r="D16" s="2">
        <v>497400</v>
      </c>
      <c r="E16" s="2">
        <v>399390</v>
      </c>
      <c r="F16" s="2">
        <v>0</v>
      </c>
      <c r="G16" s="2">
        <v>7580</v>
      </c>
      <c r="H16" s="2">
        <v>6240</v>
      </c>
      <c r="I16" s="2">
        <v>49381</v>
      </c>
      <c r="J16" s="2">
        <v>34809</v>
      </c>
      <c r="K16" s="4">
        <f t="shared" si="0"/>
        <v>48629</v>
      </c>
      <c r="L16" s="4">
        <f t="shared" si="1"/>
        <v>98010</v>
      </c>
      <c r="M16" s="4">
        <f t="shared" si="2"/>
        <v>53905.500000000007</v>
      </c>
      <c r="N16" s="12">
        <f t="shared" si="3"/>
        <v>94.204545454545453</v>
      </c>
      <c r="O16" s="19"/>
      <c r="P16" s="19"/>
      <c r="Q16" s="19"/>
    </row>
    <row r="17" spans="1:17" x14ac:dyDescent="0.25">
      <c r="A17" s="7">
        <v>15</v>
      </c>
      <c r="B17" s="5">
        <v>45672</v>
      </c>
      <c r="C17" s="2" t="s">
        <v>21</v>
      </c>
      <c r="D17" s="2">
        <v>507000</v>
      </c>
      <c r="E17" s="2">
        <v>408330</v>
      </c>
      <c r="F17" s="2">
        <v>0</v>
      </c>
      <c r="G17" s="2">
        <v>8355</v>
      </c>
      <c r="H17" s="2">
        <v>6176</v>
      </c>
      <c r="I17" s="2">
        <v>50026</v>
      </c>
      <c r="J17" s="2">
        <v>34113</v>
      </c>
      <c r="K17" s="4">
        <f t="shared" si="0"/>
        <v>48644</v>
      </c>
      <c r="L17" s="4">
        <f t="shared" si="1"/>
        <v>98670</v>
      </c>
      <c r="M17" s="4">
        <f t="shared" si="2"/>
        <v>54268.500000000007</v>
      </c>
      <c r="N17" s="12">
        <f t="shared" si="3"/>
        <v>96.022727272727266</v>
      </c>
      <c r="O17" s="19"/>
      <c r="P17" s="19"/>
      <c r="Q17" s="19"/>
    </row>
    <row r="18" spans="1:17" x14ac:dyDescent="0.25">
      <c r="A18" s="7">
        <v>16</v>
      </c>
      <c r="B18" s="5">
        <v>45673</v>
      </c>
      <c r="C18" s="2" t="s">
        <v>21</v>
      </c>
      <c r="D18" s="2">
        <v>507600</v>
      </c>
      <c r="E18" s="2">
        <v>409840</v>
      </c>
      <c r="F18" s="2">
        <v>0</v>
      </c>
      <c r="G18" s="2">
        <v>8196</v>
      </c>
      <c r="H18" s="2">
        <v>5383</v>
      </c>
      <c r="I18" s="2">
        <v>50018</v>
      </c>
      <c r="J18" s="2">
        <v>34163</v>
      </c>
      <c r="K18" s="4">
        <f t="shared" si="0"/>
        <v>47742</v>
      </c>
      <c r="L18" s="4">
        <f t="shared" si="1"/>
        <v>97760</v>
      </c>
      <c r="M18" s="4">
        <f t="shared" si="2"/>
        <v>53768.000000000007</v>
      </c>
      <c r="N18" s="12">
        <f t="shared" si="3"/>
        <v>96.136363636363626</v>
      </c>
      <c r="O18" s="19"/>
      <c r="P18" s="19"/>
      <c r="Q18" s="19"/>
    </row>
    <row r="19" spans="1:17" x14ac:dyDescent="0.25">
      <c r="A19" s="7">
        <v>17</v>
      </c>
      <c r="B19" s="5">
        <v>45674</v>
      </c>
      <c r="C19" s="2" t="s">
        <v>21</v>
      </c>
      <c r="D19" s="2">
        <v>495900</v>
      </c>
      <c r="E19" s="2">
        <v>400245</v>
      </c>
      <c r="F19" s="2">
        <v>0</v>
      </c>
      <c r="G19" s="2">
        <v>7355</v>
      </c>
      <c r="H19" s="2">
        <v>5212</v>
      </c>
      <c r="I19" s="2">
        <v>49373</v>
      </c>
      <c r="J19" s="2">
        <v>33715</v>
      </c>
      <c r="K19" s="4">
        <f t="shared" si="0"/>
        <v>46282</v>
      </c>
      <c r="L19" s="4">
        <f t="shared" si="1"/>
        <v>95655</v>
      </c>
      <c r="M19" s="4">
        <f t="shared" si="2"/>
        <v>52610.250000000007</v>
      </c>
      <c r="N19" s="12">
        <f t="shared" si="3"/>
        <v>93.920454545454547</v>
      </c>
      <c r="O19" s="19"/>
      <c r="P19" s="19"/>
      <c r="Q19" s="19"/>
    </row>
    <row r="20" spans="1:17" x14ac:dyDescent="0.25">
      <c r="A20" s="7">
        <v>18</v>
      </c>
      <c r="B20" s="5">
        <v>45675</v>
      </c>
      <c r="C20" s="2" t="s">
        <v>21</v>
      </c>
      <c r="D20" s="2">
        <v>478100</v>
      </c>
      <c r="E20" s="2">
        <v>381995</v>
      </c>
      <c r="F20" s="2">
        <v>0</v>
      </c>
      <c r="G20" s="2">
        <v>8381</v>
      </c>
      <c r="H20" s="2">
        <v>4875</v>
      </c>
      <c r="I20" s="2">
        <v>50654</v>
      </c>
      <c r="J20" s="2">
        <v>32195</v>
      </c>
      <c r="K20" s="4">
        <f t="shared" si="0"/>
        <v>45451</v>
      </c>
      <c r="L20" s="4">
        <f t="shared" si="1"/>
        <v>96105</v>
      </c>
      <c r="M20" s="4">
        <f t="shared" si="2"/>
        <v>52857.750000000007</v>
      </c>
      <c r="N20" s="12">
        <f t="shared" si="3"/>
        <v>90.549242424242422</v>
      </c>
      <c r="O20" s="19"/>
      <c r="P20" s="19"/>
      <c r="Q20" s="19"/>
    </row>
    <row r="21" spans="1:17" x14ac:dyDescent="0.25">
      <c r="A21" s="7">
        <v>19</v>
      </c>
      <c r="B21" s="5">
        <v>45676</v>
      </c>
      <c r="C21" s="2" t="s">
        <v>21</v>
      </c>
      <c r="D21" s="2">
        <v>479200</v>
      </c>
      <c r="E21" s="2">
        <v>383750</v>
      </c>
      <c r="F21" s="2">
        <v>0</v>
      </c>
      <c r="G21" s="2">
        <v>9032</v>
      </c>
      <c r="H21" s="2">
        <v>4867</v>
      </c>
      <c r="I21" s="2">
        <v>48951</v>
      </c>
      <c r="J21" s="2">
        <v>32600</v>
      </c>
      <c r="K21" s="4">
        <f t="shared" si="0"/>
        <v>46499</v>
      </c>
      <c r="L21" s="4">
        <f t="shared" si="1"/>
        <v>95450</v>
      </c>
      <c r="M21" s="4">
        <f t="shared" si="2"/>
        <v>52497.500000000007</v>
      </c>
      <c r="N21" s="12">
        <f t="shared" si="3"/>
        <v>90.757575757575765</v>
      </c>
      <c r="O21" s="19"/>
      <c r="P21" s="19"/>
      <c r="Q21" s="19"/>
    </row>
    <row r="22" spans="1:17" x14ac:dyDescent="0.25">
      <c r="A22" s="7">
        <v>20</v>
      </c>
      <c r="B22" s="5">
        <v>45677</v>
      </c>
      <c r="C22" s="2" t="s">
        <v>21</v>
      </c>
      <c r="D22" s="2">
        <v>482600</v>
      </c>
      <c r="E22" s="2">
        <v>387805</v>
      </c>
      <c r="F22" s="2">
        <v>0</v>
      </c>
      <c r="G22" s="2">
        <v>5339</v>
      </c>
      <c r="H22" s="2">
        <v>6686</v>
      </c>
      <c r="I22" s="2">
        <v>51017</v>
      </c>
      <c r="J22" s="2">
        <v>31753</v>
      </c>
      <c r="K22" s="4">
        <f t="shared" si="0"/>
        <v>43778</v>
      </c>
      <c r="L22" s="4">
        <f t="shared" si="1"/>
        <v>94795</v>
      </c>
      <c r="M22" s="4">
        <f t="shared" si="2"/>
        <v>52137.250000000007</v>
      </c>
      <c r="N22" s="12">
        <f t="shared" si="3"/>
        <v>91.401515151515156</v>
      </c>
      <c r="O22" s="19"/>
      <c r="P22" s="19"/>
      <c r="Q22" s="19"/>
    </row>
    <row r="23" spans="1:17" x14ac:dyDescent="0.25">
      <c r="A23" s="7">
        <v>21</v>
      </c>
      <c r="B23" s="5">
        <v>45678</v>
      </c>
      <c r="C23" s="2" t="s">
        <v>21</v>
      </c>
      <c r="D23" s="2">
        <v>459100</v>
      </c>
      <c r="E23" s="2">
        <v>363505</v>
      </c>
      <c r="F23" s="2">
        <v>0</v>
      </c>
      <c r="G23" s="2">
        <v>6639</v>
      </c>
      <c r="H23" s="2">
        <v>7221</v>
      </c>
      <c r="I23" s="2">
        <v>50753</v>
      </c>
      <c r="J23" s="2">
        <v>30983</v>
      </c>
      <c r="K23" s="4">
        <f t="shared" si="0"/>
        <v>44842</v>
      </c>
      <c r="L23" s="4">
        <f t="shared" si="1"/>
        <v>95595</v>
      </c>
      <c r="M23" s="4">
        <f t="shared" si="2"/>
        <v>52577.250000000007</v>
      </c>
      <c r="N23" s="12">
        <f t="shared" si="3"/>
        <v>86.950757575757578</v>
      </c>
      <c r="O23" s="19"/>
      <c r="P23" s="19"/>
      <c r="Q23" s="19"/>
    </row>
    <row r="24" spans="1:17" x14ac:dyDescent="0.25">
      <c r="A24" s="7">
        <v>22</v>
      </c>
      <c r="B24" s="5">
        <v>45679</v>
      </c>
      <c r="C24" s="2" t="s">
        <v>21</v>
      </c>
      <c r="D24" s="2">
        <v>439000</v>
      </c>
      <c r="E24" s="2">
        <v>346575</v>
      </c>
      <c r="F24" s="2">
        <v>0</v>
      </c>
      <c r="G24" s="2">
        <v>6378</v>
      </c>
      <c r="H24" s="2">
        <v>6132</v>
      </c>
      <c r="I24" s="2">
        <v>51954</v>
      </c>
      <c r="J24" s="2">
        <v>27961</v>
      </c>
      <c r="K24" s="4">
        <f t="shared" si="0"/>
        <v>40471</v>
      </c>
      <c r="L24" s="4">
        <f t="shared" si="1"/>
        <v>92425</v>
      </c>
      <c r="M24" s="4">
        <f t="shared" si="2"/>
        <v>50833.750000000007</v>
      </c>
      <c r="N24" s="12">
        <f t="shared" si="3"/>
        <v>83.143939393939391</v>
      </c>
      <c r="O24" s="19"/>
      <c r="P24" s="19"/>
      <c r="Q24" s="19"/>
    </row>
    <row r="25" spans="1:17" x14ac:dyDescent="0.25">
      <c r="A25" s="7">
        <v>23</v>
      </c>
      <c r="B25" s="5">
        <v>45680</v>
      </c>
      <c r="C25" s="2" t="s">
        <v>21</v>
      </c>
      <c r="D25" s="2">
        <v>439100</v>
      </c>
      <c r="E25" s="2">
        <v>347250</v>
      </c>
      <c r="F25" s="2">
        <v>0</v>
      </c>
      <c r="G25" s="2">
        <v>8009</v>
      </c>
      <c r="H25" s="2">
        <v>7756</v>
      </c>
      <c r="I25" s="2">
        <v>51315</v>
      </c>
      <c r="J25" s="2">
        <v>24770</v>
      </c>
      <c r="K25" s="4">
        <f t="shared" si="0"/>
        <v>40535</v>
      </c>
      <c r="L25" s="4">
        <f t="shared" si="1"/>
        <v>91850</v>
      </c>
      <c r="M25" s="4">
        <f t="shared" si="2"/>
        <v>50517.500000000007</v>
      </c>
      <c r="N25" s="12">
        <f t="shared" si="3"/>
        <v>83.162878787878796</v>
      </c>
      <c r="O25" s="19"/>
      <c r="P25" s="19"/>
      <c r="Q25" s="19"/>
    </row>
    <row r="26" spans="1:17" x14ac:dyDescent="0.25">
      <c r="A26" s="7">
        <v>24</v>
      </c>
      <c r="B26" s="5">
        <v>45681</v>
      </c>
      <c r="C26" s="2" t="s">
        <v>21</v>
      </c>
      <c r="D26" s="2">
        <v>435200</v>
      </c>
      <c r="E26" s="2">
        <v>345475</v>
      </c>
      <c r="F26" s="2">
        <v>0</v>
      </c>
      <c r="G26" s="2">
        <v>9353</v>
      </c>
      <c r="H26" s="2">
        <v>5493</v>
      </c>
      <c r="I26" s="2">
        <v>49359</v>
      </c>
      <c r="J26" s="2">
        <v>25520</v>
      </c>
      <c r="K26" s="4">
        <f t="shared" si="0"/>
        <v>40366</v>
      </c>
      <c r="L26" s="4">
        <f t="shared" si="1"/>
        <v>89725</v>
      </c>
      <c r="M26" s="4">
        <f t="shared" si="2"/>
        <v>49348.750000000007</v>
      </c>
      <c r="N26" s="12">
        <f t="shared" si="3"/>
        <v>82.424242424242422</v>
      </c>
      <c r="O26" s="19"/>
      <c r="P26" s="19"/>
      <c r="Q26" s="19"/>
    </row>
    <row r="27" spans="1:17" x14ac:dyDescent="0.25">
      <c r="A27" s="7">
        <v>25</v>
      </c>
      <c r="B27" s="5">
        <v>45682</v>
      </c>
      <c r="C27" s="2" t="s">
        <v>21</v>
      </c>
      <c r="D27" s="2">
        <v>439600</v>
      </c>
      <c r="E27" s="2">
        <v>346500</v>
      </c>
      <c r="F27" s="2">
        <v>0</v>
      </c>
      <c r="G27" s="2">
        <v>10374</v>
      </c>
      <c r="H27" s="2">
        <v>5031</v>
      </c>
      <c r="I27" s="2">
        <v>47892</v>
      </c>
      <c r="J27" s="2">
        <v>29802</v>
      </c>
      <c r="K27" s="4">
        <f t="shared" si="0"/>
        <v>45208</v>
      </c>
      <c r="L27" s="4">
        <f t="shared" si="1"/>
        <v>93100</v>
      </c>
      <c r="M27" s="4">
        <f t="shared" si="2"/>
        <v>51205.000000000007</v>
      </c>
      <c r="N27" s="12">
        <f t="shared" si="3"/>
        <v>83.257575757575751</v>
      </c>
      <c r="O27" s="19"/>
      <c r="P27" s="19"/>
      <c r="Q27" s="19"/>
    </row>
    <row r="28" spans="1:17" x14ac:dyDescent="0.25">
      <c r="A28" s="7">
        <v>26</v>
      </c>
      <c r="B28" s="5">
        <v>45683</v>
      </c>
      <c r="C28" s="2" t="s">
        <v>21</v>
      </c>
      <c r="D28" s="2">
        <v>473900</v>
      </c>
      <c r="E28" s="2">
        <v>380415</v>
      </c>
      <c r="F28" s="2">
        <v>0</v>
      </c>
      <c r="G28" s="2">
        <v>9316</v>
      </c>
      <c r="H28" s="2">
        <v>4381</v>
      </c>
      <c r="I28" s="2">
        <v>46560</v>
      </c>
      <c r="J28" s="2">
        <v>33228</v>
      </c>
      <c r="K28" s="4">
        <f t="shared" si="0"/>
        <v>46925</v>
      </c>
      <c r="L28" s="4">
        <f t="shared" si="1"/>
        <v>93485</v>
      </c>
      <c r="M28" s="4">
        <f t="shared" si="2"/>
        <v>51416.750000000007</v>
      </c>
      <c r="N28" s="12">
        <f t="shared" si="3"/>
        <v>89.75378787878789</v>
      </c>
      <c r="O28" s="19"/>
      <c r="P28" s="19"/>
      <c r="Q28" s="19"/>
    </row>
    <row r="29" spans="1:17" x14ac:dyDescent="0.25">
      <c r="A29" s="7">
        <v>27</v>
      </c>
      <c r="B29" s="5">
        <v>45684</v>
      </c>
      <c r="C29" s="2" t="s">
        <v>21</v>
      </c>
      <c r="D29" s="2">
        <v>492300</v>
      </c>
      <c r="E29" s="2">
        <v>398840</v>
      </c>
      <c r="F29" s="2">
        <v>0</v>
      </c>
      <c r="G29" s="2">
        <v>10471</v>
      </c>
      <c r="H29" s="2">
        <v>4955</v>
      </c>
      <c r="I29" s="2">
        <v>47880</v>
      </c>
      <c r="J29" s="2">
        <v>30154</v>
      </c>
      <c r="K29" s="4">
        <f t="shared" si="0"/>
        <v>45580</v>
      </c>
      <c r="L29" s="4">
        <f t="shared" si="1"/>
        <v>93460</v>
      </c>
      <c r="M29" s="4">
        <f t="shared" si="2"/>
        <v>51403.000000000007</v>
      </c>
      <c r="N29" s="12">
        <f t="shared" si="3"/>
        <v>93.23863636363636</v>
      </c>
      <c r="O29" s="19"/>
      <c r="P29" s="19"/>
      <c r="Q29" s="19"/>
    </row>
    <row r="30" spans="1:17" s="18" customFormat="1" x14ac:dyDescent="0.25">
      <c r="A30" s="14">
        <v>28</v>
      </c>
      <c r="B30" s="15">
        <v>45685</v>
      </c>
      <c r="C30" s="14" t="s">
        <v>21</v>
      </c>
      <c r="D30" s="14">
        <v>510400</v>
      </c>
      <c r="E30" s="14">
        <v>390330</v>
      </c>
      <c r="F30" s="14">
        <v>0</v>
      </c>
      <c r="G30" s="14">
        <v>14086</v>
      </c>
      <c r="H30" s="14">
        <v>11640</v>
      </c>
      <c r="I30" s="14">
        <v>55464</v>
      </c>
      <c r="J30" s="14">
        <v>38880</v>
      </c>
      <c r="K30" s="16">
        <f t="shared" si="0"/>
        <v>64606</v>
      </c>
      <c r="L30" s="16">
        <f t="shared" si="1"/>
        <v>120070</v>
      </c>
      <c r="M30" s="16">
        <f t="shared" si="2"/>
        <v>66038.5</v>
      </c>
      <c r="N30" s="17">
        <f t="shared" si="3"/>
        <v>96.666666666666671</v>
      </c>
      <c r="O30" s="19"/>
      <c r="P30" s="19"/>
      <c r="Q30" s="19"/>
    </row>
    <row r="31" spans="1:17" x14ac:dyDescent="0.25">
      <c r="A31" s="7">
        <v>29</v>
      </c>
      <c r="B31" s="5">
        <v>45686</v>
      </c>
      <c r="C31" s="2" t="s">
        <v>21</v>
      </c>
      <c r="D31" s="2">
        <v>511100</v>
      </c>
      <c r="E31" s="2">
        <v>408445</v>
      </c>
      <c r="F31" s="2">
        <v>0</v>
      </c>
      <c r="G31" s="2">
        <v>12982</v>
      </c>
      <c r="H31" s="2">
        <v>4996</v>
      </c>
      <c r="I31" s="2">
        <v>49886</v>
      </c>
      <c r="J31" s="2">
        <v>34791</v>
      </c>
      <c r="K31" s="4">
        <f t="shared" si="0"/>
        <v>52769</v>
      </c>
      <c r="L31" s="4">
        <f t="shared" si="1"/>
        <v>102655</v>
      </c>
      <c r="M31" s="4">
        <f t="shared" si="2"/>
        <v>56460.250000000007</v>
      </c>
      <c r="N31" s="12">
        <f t="shared" si="3"/>
        <v>96.799242424242422</v>
      </c>
      <c r="O31" s="19"/>
      <c r="P31" s="19"/>
      <c r="Q31" s="19"/>
    </row>
    <row r="32" spans="1:17" x14ac:dyDescent="0.25">
      <c r="A32" s="7">
        <v>30</v>
      </c>
      <c r="B32" s="5">
        <v>45687</v>
      </c>
      <c r="C32" s="2" t="s">
        <v>21</v>
      </c>
      <c r="D32" s="2">
        <v>515100</v>
      </c>
      <c r="E32" s="2">
        <v>311270</v>
      </c>
      <c r="F32" s="2">
        <v>445</v>
      </c>
      <c r="G32" s="2">
        <v>107530</v>
      </c>
      <c r="H32" s="2">
        <v>8942</v>
      </c>
      <c r="I32" s="2">
        <v>52187</v>
      </c>
      <c r="J32" s="2">
        <v>35616</v>
      </c>
      <c r="K32" s="4">
        <f t="shared" si="0"/>
        <v>151643</v>
      </c>
      <c r="L32" s="4">
        <f t="shared" si="1"/>
        <v>203830</v>
      </c>
      <c r="M32" s="4">
        <f t="shared" si="2"/>
        <v>112106.50000000001</v>
      </c>
      <c r="N32" s="12">
        <f t="shared" si="3"/>
        <v>97.556818181818187</v>
      </c>
      <c r="O32" s="19"/>
      <c r="P32" s="19"/>
      <c r="Q32" s="19"/>
    </row>
    <row r="33" spans="1:17" x14ac:dyDescent="0.25">
      <c r="A33" s="7">
        <v>31</v>
      </c>
      <c r="B33" s="5">
        <v>45688</v>
      </c>
      <c r="C33" s="2" t="s">
        <v>21</v>
      </c>
      <c r="D33" s="2">
        <v>522100</v>
      </c>
      <c r="E33" s="2">
        <v>35415</v>
      </c>
      <c r="F33" s="2">
        <v>5845</v>
      </c>
      <c r="G33" s="2">
        <v>375789</v>
      </c>
      <c r="H33" s="2">
        <v>28804</v>
      </c>
      <c r="I33" s="2">
        <v>53454</v>
      </c>
      <c r="J33" s="2">
        <v>34483</v>
      </c>
      <c r="K33" s="4">
        <f t="shared" si="0"/>
        <v>433231</v>
      </c>
      <c r="L33" s="4">
        <f t="shared" si="1"/>
        <v>486685</v>
      </c>
      <c r="M33" s="4">
        <f t="shared" si="2"/>
        <v>267676.75</v>
      </c>
      <c r="N33" s="12">
        <f t="shared" si="3"/>
        <v>98.882575757575751</v>
      </c>
      <c r="O33" s="19"/>
      <c r="P33" s="19"/>
      <c r="Q33" s="19"/>
    </row>
    <row r="34" spans="1:17" x14ac:dyDescent="0.25">
      <c r="A34" s="2"/>
      <c r="B34" s="2"/>
      <c r="C34" s="8" t="s">
        <v>15</v>
      </c>
      <c r="D34" s="8">
        <f t="shared" ref="D34:M34" si="4">SUM(D3:D33)</f>
        <v>15134400</v>
      </c>
      <c r="E34" s="8">
        <f t="shared" si="4"/>
        <v>11636575</v>
      </c>
      <c r="F34" s="8">
        <f t="shared" si="4"/>
        <v>6290</v>
      </c>
      <c r="G34" s="8">
        <f t="shared" si="4"/>
        <v>720051</v>
      </c>
      <c r="H34" s="8">
        <f t="shared" si="4"/>
        <v>212723</v>
      </c>
      <c r="I34" s="8">
        <f t="shared" si="4"/>
        <v>1552528</v>
      </c>
      <c r="J34" s="8">
        <f t="shared" si="4"/>
        <v>1018813</v>
      </c>
      <c r="K34" s="8">
        <f t="shared" si="4"/>
        <v>1945297</v>
      </c>
      <c r="L34" s="8">
        <f t="shared" si="4"/>
        <v>3497825</v>
      </c>
      <c r="M34" s="8">
        <f t="shared" si="4"/>
        <v>1923803.7500000002</v>
      </c>
      <c r="N34" s="13">
        <f>SUM(N3:N33)/31</f>
        <v>92.46334310850439</v>
      </c>
    </row>
    <row r="35" spans="1:17" x14ac:dyDescent="0.25">
      <c r="A35" s="2"/>
      <c r="B35" s="2"/>
      <c r="C35" s="8" t="s">
        <v>16</v>
      </c>
      <c r="D35" s="2">
        <v>15134320</v>
      </c>
      <c r="E35" s="2">
        <v>11787613</v>
      </c>
      <c r="F35" s="2">
        <v>3540</v>
      </c>
      <c r="G35" s="2"/>
      <c r="H35" s="2"/>
      <c r="I35" s="2"/>
      <c r="J35" s="2"/>
      <c r="K35" s="2"/>
      <c r="L35" s="2"/>
      <c r="M35" s="2"/>
      <c r="N35" s="2"/>
    </row>
    <row r="36" spans="1:17" x14ac:dyDescent="0.25">
      <c r="A36" s="2"/>
      <c r="B36" s="2"/>
      <c r="C36" s="8" t="s">
        <v>17</v>
      </c>
      <c r="D36" s="2">
        <f>D35-D34</f>
        <v>-80</v>
      </c>
      <c r="E36" s="2">
        <f>E34-E35</f>
        <v>-151038</v>
      </c>
      <c r="F36" s="2">
        <f>F34-F35</f>
        <v>2750</v>
      </c>
      <c r="G36" s="63">
        <v>-153868</v>
      </c>
      <c r="H36" s="64"/>
      <c r="I36" s="64"/>
      <c r="J36" s="65"/>
      <c r="K36" s="2"/>
      <c r="L36" s="2"/>
      <c r="M36" s="2"/>
      <c r="N36" s="2"/>
    </row>
    <row r="37" spans="1:17" x14ac:dyDescent="0.25">
      <c r="A37" s="2"/>
      <c r="B37" s="2"/>
      <c r="C37" s="8" t="s">
        <v>18</v>
      </c>
      <c r="D37" s="2"/>
      <c r="E37" s="2"/>
      <c r="F37" s="2"/>
      <c r="G37" s="2">
        <v>-76934</v>
      </c>
      <c r="H37" s="2">
        <v>-30773.599999999999</v>
      </c>
      <c r="I37" s="2"/>
      <c r="J37" s="2">
        <v>-46160.4</v>
      </c>
      <c r="K37" s="2"/>
      <c r="L37" s="2"/>
      <c r="M37" s="2"/>
      <c r="N37" s="2"/>
    </row>
    <row r="38" spans="1:17" x14ac:dyDescent="0.25">
      <c r="A38" s="2"/>
      <c r="B38" s="2"/>
      <c r="C38" s="8" t="s">
        <v>19</v>
      </c>
      <c r="D38" s="2">
        <v>579692.57999999996</v>
      </c>
      <c r="E38" s="2"/>
      <c r="F38" s="2"/>
      <c r="G38" s="2">
        <v>643117</v>
      </c>
      <c r="H38" s="2">
        <v>181949.4</v>
      </c>
      <c r="I38" s="2">
        <v>1552528</v>
      </c>
      <c r="J38" s="2">
        <v>972652.6</v>
      </c>
      <c r="K38" s="2"/>
      <c r="L38" s="2"/>
      <c r="M38" s="2"/>
      <c r="N38" s="2"/>
    </row>
    <row r="39" spans="1:17" x14ac:dyDescent="0.25">
      <c r="A39" s="2"/>
      <c r="B39" s="2"/>
      <c r="C39" s="8" t="s">
        <v>20</v>
      </c>
      <c r="D39" s="2">
        <v>594826.9</v>
      </c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7" x14ac:dyDescent="0.25">
      <c r="A40" s="1"/>
      <c r="B40" s="1"/>
      <c r="C40" s="1"/>
      <c r="D40" s="1">
        <f>D39-D38</f>
        <v>15134.320000000065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7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7" x14ac:dyDescent="0.25">
      <c r="A42" s="1"/>
      <c r="B42" s="1"/>
      <c r="C42" s="1"/>
      <c r="D42" s="1"/>
      <c r="E42" s="20"/>
      <c r="F42" s="1"/>
      <c r="G42" s="1"/>
      <c r="H42" s="20"/>
      <c r="I42" s="1"/>
      <c r="J42" s="1"/>
      <c r="K42" s="1"/>
      <c r="L42" s="1"/>
      <c r="M42" s="1"/>
      <c r="N42" s="1"/>
    </row>
    <row r="43" spans="1:17" x14ac:dyDescent="0.25">
      <c r="A43" s="1"/>
      <c r="B43" s="1"/>
      <c r="C43" s="1"/>
      <c r="D43" s="1"/>
      <c r="E43" s="1"/>
      <c r="F43" s="1"/>
      <c r="G43" s="1"/>
      <c r="H43" s="20"/>
      <c r="I43" s="1"/>
      <c r="J43" s="1"/>
      <c r="K43" s="1"/>
      <c r="L43" s="1"/>
      <c r="M43" s="1"/>
      <c r="N43" s="1"/>
    </row>
    <row r="44" spans="1:17" x14ac:dyDescent="0.25">
      <c r="A44" s="1"/>
      <c r="B44" s="1"/>
      <c r="C44" s="1"/>
      <c r="D44" s="1"/>
      <c r="E44" s="1"/>
      <c r="F44" s="1"/>
      <c r="G44" s="1"/>
      <c r="H44" s="20"/>
      <c r="I44" s="1"/>
      <c r="J44" s="1"/>
      <c r="K44" s="1"/>
      <c r="L44" s="1"/>
      <c r="M44" s="1"/>
      <c r="N44" s="1"/>
    </row>
    <row r="45" spans="1:17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7" x14ac:dyDescent="0.25">
      <c r="A46" s="1"/>
      <c r="B46" s="1"/>
      <c r="C46" s="1"/>
      <c r="D46" s="1">
        <f>D35+F35</f>
        <v>15137860</v>
      </c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7" x14ac:dyDescent="0.25">
      <c r="A47" s="1"/>
      <c r="B47" s="1"/>
      <c r="C47" s="1"/>
      <c r="D47" s="1">
        <f>E35+G38+H38+I38+J38</f>
        <v>15137860</v>
      </c>
      <c r="E47" s="1"/>
      <c r="F47" s="1">
        <f>E36+D36-F36</f>
        <v>-153868</v>
      </c>
      <c r="G47" s="1">
        <f>F47*0.3</f>
        <v>-46160.4</v>
      </c>
      <c r="H47" s="1"/>
      <c r="I47" s="1"/>
      <c r="J47" s="1"/>
      <c r="K47" s="1"/>
      <c r="L47" s="1"/>
      <c r="M47" s="1"/>
      <c r="N47" s="1"/>
    </row>
    <row r="48" spans="1:17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</sheetData>
  <mergeCells count="2">
    <mergeCell ref="A1:N1"/>
    <mergeCell ref="G36:J36"/>
  </mergeCells>
  <pageMargins left="0.7" right="0.7" top="0.75" bottom="0.75" header="0.3" footer="0.3"/>
  <pageSetup paperSize="9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49"/>
  <sheetViews>
    <sheetView topLeftCell="C1" workbookViewId="0">
      <selection activeCell="L29" sqref="L29"/>
    </sheetView>
  </sheetViews>
  <sheetFormatPr defaultRowHeight="15" x14ac:dyDescent="0.25"/>
  <cols>
    <col min="1" max="1" width="5.5703125" bestFit="1" customWidth="1"/>
    <col min="2" max="2" width="10.140625" customWidth="1"/>
    <col min="3" max="3" width="18.42578125" bestFit="1" customWidth="1"/>
    <col min="4" max="4" width="13.7109375" bestFit="1" customWidth="1"/>
    <col min="5" max="5" width="12" bestFit="1" customWidth="1"/>
    <col min="6" max="6" width="11.85546875" bestFit="1" customWidth="1"/>
    <col min="7" max="8" width="17.28515625" bestFit="1" customWidth="1"/>
    <col min="10" max="10" width="16.28515625" bestFit="1" customWidth="1"/>
    <col min="11" max="11" width="10.42578125" bestFit="1" customWidth="1"/>
    <col min="12" max="12" width="25.140625" customWidth="1"/>
    <col min="13" max="13" width="11.5703125" bestFit="1" customWidth="1"/>
  </cols>
  <sheetData>
    <row r="1" spans="1:14" ht="40.5" customHeight="1" thickBot="1" x14ac:dyDescent="0.3">
      <c r="A1" s="74" t="s">
        <v>14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6"/>
    </row>
    <row r="2" spans="1:14" ht="15.75" thickBot="1" x14ac:dyDescent="0.3">
      <c r="A2" s="9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0" t="s">
        <v>10</v>
      </c>
      <c r="L2" s="10" t="s">
        <v>11</v>
      </c>
      <c r="M2" s="10" t="s">
        <v>12</v>
      </c>
      <c r="N2" s="11" t="s">
        <v>13</v>
      </c>
    </row>
    <row r="3" spans="1:14" x14ac:dyDescent="0.25">
      <c r="A3" s="6">
        <v>1</v>
      </c>
      <c r="B3" s="5">
        <v>45627</v>
      </c>
      <c r="C3" s="4" t="s">
        <v>21</v>
      </c>
      <c r="D3" s="4">
        <v>164600</v>
      </c>
      <c r="E3" s="4">
        <v>98385</v>
      </c>
      <c r="F3" s="4">
        <v>0</v>
      </c>
      <c r="G3" s="4">
        <v>5097</v>
      </c>
      <c r="H3" s="4">
        <v>3325</v>
      </c>
      <c r="I3" s="4">
        <v>21109</v>
      </c>
      <c r="J3" s="4">
        <v>36684</v>
      </c>
      <c r="K3" s="4">
        <f>D3-E3-I3</f>
        <v>45106</v>
      </c>
      <c r="L3" s="4">
        <f>D3-E3</f>
        <v>66215</v>
      </c>
      <c r="M3" s="4">
        <f>L3*0.55</f>
        <v>36418.25</v>
      </c>
      <c r="N3" s="12">
        <f>(D3/528000)*100</f>
        <v>31.174242424242426</v>
      </c>
    </row>
    <row r="4" spans="1:14" x14ac:dyDescent="0.25">
      <c r="A4" s="7">
        <v>2</v>
      </c>
      <c r="B4" s="3">
        <v>45628</v>
      </c>
      <c r="C4" s="2" t="s">
        <v>21</v>
      </c>
      <c r="D4" s="2">
        <v>166300</v>
      </c>
      <c r="E4" s="2">
        <v>102675</v>
      </c>
      <c r="F4" s="2">
        <v>0</v>
      </c>
      <c r="G4" s="2">
        <v>5417</v>
      </c>
      <c r="H4" s="2">
        <v>3538</v>
      </c>
      <c r="I4" s="2">
        <v>18661</v>
      </c>
      <c r="J4" s="2">
        <v>36009</v>
      </c>
      <c r="K4" s="4">
        <f t="shared" ref="K4:K33" si="0">D4-E4-I4</f>
        <v>44964</v>
      </c>
      <c r="L4" s="4">
        <f t="shared" ref="L4:L33" si="1">D4-E4</f>
        <v>63625</v>
      </c>
      <c r="M4" s="4">
        <f t="shared" ref="M4:M33" si="2">L4*0.55</f>
        <v>34993.75</v>
      </c>
      <c r="N4" s="12">
        <f t="shared" ref="N4:N33" si="3">(D4/528000)*100</f>
        <v>31.496212121212118</v>
      </c>
    </row>
    <row r="5" spans="1:14" x14ac:dyDescent="0.25">
      <c r="A5" s="7">
        <v>3</v>
      </c>
      <c r="B5" s="3">
        <v>45629</v>
      </c>
      <c r="C5" s="2" t="s">
        <v>21</v>
      </c>
      <c r="D5" s="2">
        <v>165900</v>
      </c>
      <c r="E5" s="2">
        <v>101890</v>
      </c>
      <c r="F5" s="2">
        <v>0</v>
      </c>
      <c r="G5" s="2">
        <v>5778</v>
      </c>
      <c r="H5" s="2">
        <v>3657</v>
      </c>
      <c r="I5" s="2">
        <v>19203</v>
      </c>
      <c r="J5" s="2">
        <v>35372</v>
      </c>
      <c r="K5" s="4">
        <f t="shared" si="0"/>
        <v>44807</v>
      </c>
      <c r="L5" s="4">
        <f t="shared" si="1"/>
        <v>64010</v>
      </c>
      <c r="M5" s="4">
        <f t="shared" si="2"/>
        <v>35205.5</v>
      </c>
      <c r="N5" s="12">
        <f t="shared" si="3"/>
        <v>31.420454545454547</v>
      </c>
    </row>
    <row r="6" spans="1:14" x14ac:dyDescent="0.25">
      <c r="A6" s="7">
        <v>4</v>
      </c>
      <c r="B6" s="3">
        <v>45630</v>
      </c>
      <c r="C6" s="2" t="s">
        <v>21</v>
      </c>
      <c r="D6" s="2">
        <v>167600</v>
      </c>
      <c r="E6" s="2">
        <v>103705</v>
      </c>
      <c r="F6" s="2">
        <v>0</v>
      </c>
      <c r="G6" s="2">
        <v>5826</v>
      </c>
      <c r="H6" s="2">
        <v>3667</v>
      </c>
      <c r="I6" s="2">
        <v>19747</v>
      </c>
      <c r="J6" s="2">
        <v>34654</v>
      </c>
      <c r="K6" s="4">
        <f t="shared" si="0"/>
        <v>44148</v>
      </c>
      <c r="L6" s="4">
        <f t="shared" si="1"/>
        <v>63895</v>
      </c>
      <c r="M6" s="4">
        <f t="shared" si="2"/>
        <v>35142.25</v>
      </c>
      <c r="N6" s="12">
        <f t="shared" si="3"/>
        <v>31.742424242424246</v>
      </c>
    </row>
    <row r="7" spans="1:14" x14ac:dyDescent="0.25">
      <c r="A7" s="7">
        <v>5</v>
      </c>
      <c r="B7" s="3">
        <v>45631</v>
      </c>
      <c r="C7" s="2" t="s">
        <v>21</v>
      </c>
      <c r="D7" s="2">
        <v>155500</v>
      </c>
      <c r="E7" s="2">
        <v>91370</v>
      </c>
      <c r="F7" s="2">
        <v>0</v>
      </c>
      <c r="G7" s="2">
        <v>5826</v>
      </c>
      <c r="H7" s="2">
        <v>3968</v>
      </c>
      <c r="I7" s="2">
        <v>20033</v>
      </c>
      <c r="J7" s="2">
        <v>34303</v>
      </c>
      <c r="K7" s="4">
        <f t="shared" si="0"/>
        <v>44097</v>
      </c>
      <c r="L7" s="4">
        <f t="shared" si="1"/>
        <v>64130</v>
      </c>
      <c r="M7" s="4">
        <f t="shared" si="2"/>
        <v>35271.5</v>
      </c>
      <c r="N7" s="12">
        <f t="shared" si="3"/>
        <v>29.450757575757574</v>
      </c>
    </row>
    <row r="8" spans="1:14" x14ac:dyDescent="0.25">
      <c r="A8" s="7">
        <v>6</v>
      </c>
      <c r="B8" s="3">
        <v>45632</v>
      </c>
      <c r="C8" s="2" t="s">
        <v>21</v>
      </c>
      <c r="D8" s="2">
        <v>224300</v>
      </c>
      <c r="E8" s="2">
        <v>152805</v>
      </c>
      <c r="F8" s="2">
        <v>0</v>
      </c>
      <c r="G8" s="2">
        <v>6627</v>
      </c>
      <c r="H8" s="2">
        <v>3654</v>
      </c>
      <c r="I8" s="2">
        <v>26350</v>
      </c>
      <c r="J8" s="2">
        <v>34864</v>
      </c>
      <c r="K8" s="4">
        <f t="shared" si="0"/>
        <v>45145</v>
      </c>
      <c r="L8" s="4">
        <f t="shared" si="1"/>
        <v>71495</v>
      </c>
      <c r="M8" s="4">
        <f t="shared" si="2"/>
        <v>39322.25</v>
      </c>
      <c r="N8" s="12">
        <f t="shared" si="3"/>
        <v>42.481060606060609</v>
      </c>
    </row>
    <row r="9" spans="1:14" x14ac:dyDescent="0.25">
      <c r="A9" s="7">
        <v>7</v>
      </c>
      <c r="B9" s="3">
        <v>45633</v>
      </c>
      <c r="C9" s="2" t="s">
        <v>21</v>
      </c>
      <c r="D9" s="2">
        <v>453200</v>
      </c>
      <c r="E9" s="2">
        <v>357295</v>
      </c>
      <c r="F9" s="2">
        <v>0</v>
      </c>
      <c r="G9" s="2">
        <v>8573</v>
      </c>
      <c r="H9" s="2">
        <v>4113</v>
      </c>
      <c r="I9" s="2">
        <v>47610</v>
      </c>
      <c r="J9" s="2">
        <v>35608</v>
      </c>
      <c r="K9" s="4">
        <f t="shared" si="0"/>
        <v>48295</v>
      </c>
      <c r="L9" s="4">
        <f t="shared" si="1"/>
        <v>95905</v>
      </c>
      <c r="M9" s="4">
        <f t="shared" si="2"/>
        <v>52747.750000000007</v>
      </c>
      <c r="N9" s="12">
        <f t="shared" si="3"/>
        <v>85.833333333333329</v>
      </c>
    </row>
    <row r="10" spans="1:14" x14ac:dyDescent="0.25">
      <c r="A10" s="7">
        <v>8</v>
      </c>
      <c r="B10" s="3">
        <v>45634</v>
      </c>
      <c r="C10" s="2" t="s">
        <v>21</v>
      </c>
      <c r="D10" s="2">
        <v>443800</v>
      </c>
      <c r="E10" s="2">
        <v>353845</v>
      </c>
      <c r="F10" s="2">
        <v>0</v>
      </c>
      <c r="G10" s="2">
        <v>6703</v>
      </c>
      <c r="H10" s="2">
        <v>3912</v>
      </c>
      <c r="I10" s="2">
        <v>44590</v>
      </c>
      <c r="J10" s="2">
        <v>34750</v>
      </c>
      <c r="K10" s="4">
        <f t="shared" si="0"/>
        <v>45365</v>
      </c>
      <c r="L10" s="4">
        <f t="shared" si="1"/>
        <v>89955</v>
      </c>
      <c r="M10" s="4">
        <f t="shared" si="2"/>
        <v>49475.250000000007</v>
      </c>
      <c r="N10" s="12">
        <f t="shared" si="3"/>
        <v>84.053030303030312</v>
      </c>
    </row>
    <row r="11" spans="1:14" x14ac:dyDescent="0.25">
      <c r="A11" s="7">
        <v>9</v>
      </c>
      <c r="B11" s="3">
        <v>45635</v>
      </c>
      <c r="C11" s="2" t="s">
        <v>21</v>
      </c>
      <c r="D11" s="2">
        <v>467500</v>
      </c>
      <c r="E11" s="2">
        <v>372625</v>
      </c>
      <c r="F11" s="2">
        <v>0</v>
      </c>
      <c r="G11" s="2">
        <v>7981</v>
      </c>
      <c r="H11" s="2">
        <v>4559</v>
      </c>
      <c r="I11" s="2">
        <v>47332</v>
      </c>
      <c r="J11" s="2">
        <v>35003</v>
      </c>
      <c r="K11" s="4">
        <f t="shared" si="0"/>
        <v>47543</v>
      </c>
      <c r="L11" s="4">
        <f t="shared" si="1"/>
        <v>94875</v>
      </c>
      <c r="M11" s="4">
        <f t="shared" si="2"/>
        <v>52181.250000000007</v>
      </c>
      <c r="N11" s="12">
        <f t="shared" si="3"/>
        <v>88.541666666666657</v>
      </c>
    </row>
    <row r="12" spans="1:14" x14ac:dyDescent="0.25">
      <c r="A12" s="7">
        <v>10</v>
      </c>
      <c r="B12" s="3">
        <v>45636</v>
      </c>
      <c r="C12" s="2" t="s">
        <v>21</v>
      </c>
      <c r="D12" s="2">
        <v>476200</v>
      </c>
      <c r="E12" s="2">
        <v>380545</v>
      </c>
      <c r="F12" s="2">
        <v>25</v>
      </c>
      <c r="G12" s="2">
        <v>8028</v>
      </c>
      <c r="H12" s="2">
        <v>4315</v>
      </c>
      <c r="I12" s="2">
        <v>48347</v>
      </c>
      <c r="J12" s="2">
        <v>34990</v>
      </c>
      <c r="K12" s="4">
        <f t="shared" si="0"/>
        <v>47308</v>
      </c>
      <c r="L12" s="4">
        <f t="shared" si="1"/>
        <v>95655</v>
      </c>
      <c r="M12" s="4">
        <f t="shared" si="2"/>
        <v>52610.250000000007</v>
      </c>
      <c r="N12" s="12">
        <f t="shared" si="3"/>
        <v>90.189393939393938</v>
      </c>
    </row>
    <row r="13" spans="1:14" x14ac:dyDescent="0.25">
      <c r="A13" s="7">
        <v>11</v>
      </c>
      <c r="B13" s="3">
        <v>45637</v>
      </c>
      <c r="C13" s="2" t="s">
        <v>21</v>
      </c>
      <c r="D13" s="2">
        <v>461300</v>
      </c>
      <c r="E13" s="2">
        <v>370230</v>
      </c>
      <c r="F13" s="2">
        <v>5</v>
      </c>
      <c r="G13" s="2">
        <v>7826</v>
      </c>
      <c r="H13" s="2">
        <v>4552</v>
      </c>
      <c r="I13" s="2">
        <v>45035</v>
      </c>
      <c r="J13" s="2">
        <v>33662</v>
      </c>
      <c r="K13" s="4">
        <f t="shared" si="0"/>
        <v>46035</v>
      </c>
      <c r="L13" s="4">
        <f t="shared" si="1"/>
        <v>91070</v>
      </c>
      <c r="M13" s="4">
        <f t="shared" si="2"/>
        <v>50088.500000000007</v>
      </c>
      <c r="N13" s="12">
        <f t="shared" si="3"/>
        <v>87.367424242424235</v>
      </c>
    </row>
    <row r="14" spans="1:14" x14ac:dyDescent="0.25">
      <c r="A14" s="7">
        <v>12</v>
      </c>
      <c r="B14" s="3">
        <v>45638</v>
      </c>
      <c r="C14" s="2" t="s">
        <v>21</v>
      </c>
      <c r="D14" s="2">
        <v>461300</v>
      </c>
      <c r="E14" s="2">
        <v>368670</v>
      </c>
      <c r="F14" s="2">
        <v>0</v>
      </c>
      <c r="G14" s="2">
        <v>8671</v>
      </c>
      <c r="H14" s="2">
        <v>4212</v>
      </c>
      <c r="I14" s="2">
        <v>45798</v>
      </c>
      <c r="J14" s="2">
        <v>33950</v>
      </c>
      <c r="K14" s="4">
        <f t="shared" si="0"/>
        <v>46832</v>
      </c>
      <c r="L14" s="4">
        <f t="shared" si="1"/>
        <v>92630</v>
      </c>
      <c r="M14" s="4">
        <f t="shared" si="2"/>
        <v>50946.500000000007</v>
      </c>
      <c r="N14" s="12">
        <f t="shared" si="3"/>
        <v>87.367424242424235</v>
      </c>
    </row>
    <row r="15" spans="1:14" x14ac:dyDescent="0.25">
      <c r="A15" s="7">
        <v>13</v>
      </c>
      <c r="B15" s="3">
        <v>45639</v>
      </c>
      <c r="C15" s="2" t="s">
        <v>21</v>
      </c>
      <c r="D15" s="2">
        <v>443200</v>
      </c>
      <c r="E15" s="2">
        <v>352200</v>
      </c>
      <c r="F15" s="2">
        <v>0</v>
      </c>
      <c r="G15" s="2">
        <v>7367</v>
      </c>
      <c r="H15" s="2">
        <v>4303</v>
      </c>
      <c r="I15" s="2">
        <v>46472</v>
      </c>
      <c r="J15" s="2">
        <v>32858</v>
      </c>
      <c r="K15" s="4">
        <f t="shared" si="0"/>
        <v>44528</v>
      </c>
      <c r="L15" s="4">
        <f t="shared" si="1"/>
        <v>91000</v>
      </c>
      <c r="M15" s="4">
        <f t="shared" si="2"/>
        <v>50050.000000000007</v>
      </c>
      <c r="N15" s="12">
        <f t="shared" si="3"/>
        <v>83.939393939393938</v>
      </c>
    </row>
    <row r="16" spans="1:14" x14ac:dyDescent="0.25">
      <c r="A16" s="7">
        <v>14</v>
      </c>
      <c r="B16" s="3">
        <v>45640</v>
      </c>
      <c r="C16" s="2" t="s">
        <v>21</v>
      </c>
      <c r="D16" s="2">
        <v>439800</v>
      </c>
      <c r="E16" s="2">
        <v>347825</v>
      </c>
      <c r="F16" s="2">
        <v>0</v>
      </c>
      <c r="G16" s="2">
        <v>8414</v>
      </c>
      <c r="H16" s="2">
        <v>4258</v>
      </c>
      <c r="I16" s="2">
        <v>47615</v>
      </c>
      <c r="J16" s="2">
        <v>31688</v>
      </c>
      <c r="K16" s="4">
        <f t="shared" si="0"/>
        <v>44360</v>
      </c>
      <c r="L16" s="4">
        <f t="shared" si="1"/>
        <v>91975</v>
      </c>
      <c r="M16" s="4">
        <f t="shared" si="2"/>
        <v>50586.250000000007</v>
      </c>
      <c r="N16" s="12">
        <f t="shared" si="3"/>
        <v>83.295454545454547</v>
      </c>
    </row>
    <row r="17" spans="1:14" x14ac:dyDescent="0.25">
      <c r="A17" s="7">
        <v>15</v>
      </c>
      <c r="B17" s="3">
        <v>45641</v>
      </c>
      <c r="C17" s="2" t="s">
        <v>21</v>
      </c>
      <c r="D17" s="2">
        <v>440800</v>
      </c>
      <c r="E17" s="2">
        <v>349050</v>
      </c>
      <c r="F17" s="2">
        <v>0</v>
      </c>
      <c r="G17" s="2">
        <v>8102</v>
      </c>
      <c r="H17" s="2">
        <v>4035</v>
      </c>
      <c r="I17" s="2">
        <v>45326</v>
      </c>
      <c r="J17" s="2">
        <v>34287</v>
      </c>
      <c r="K17" s="4">
        <f t="shared" si="0"/>
        <v>46424</v>
      </c>
      <c r="L17" s="4">
        <f t="shared" si="1"/>
        <v>91750</v>
      </c>
      <c r="M17" s="4">
        <f t="shared" si="2"/>
        <v>50462.500000000007</v>
      </c>
      <c r="N17" s="12">
        <f t="shared" si="3"/>
        <v>83.484848484848484</v>
      </c>
    </row>
    <row r="18" spans="1:14" x14ac:dyDescent="0.25">
      <c r="A18" s="7">
        <v>16</v>
      </c>
      <c r="B18" s="3">
        <v>45642</v>
      </c>
      <c r="C18" s="2" t="s">
        <v>21</v>
      </c>
      <c r="D18" s="2">
        <v>447500</v>
      </c>
      <c r="E18" s="2">
        <v>354955</v>
      </c>
      <c r="F18" s="2">
        <v>0</v>
      </c>
      <c r="G18" s="2">
        <v>8540</v>
      </c>
      <c r="H18" s="2">
        <v>4273</v>
      </c>
      <c r="I18" s="2">
        <v>46227</v>
      </c>
      <c r="J18" s="2">
        <v>33505</v>
      </c>
      <c r="K18" s="4">
        <f t="shared" si="0"/>
        <v>46318</v>
      </c>
      <c r="L18" s="4">
        <f t="shared" si="1"/>
        <v>92545</v>
      </c>
      <c r="M18" s="4">
        <f t="shared" si="2"/>
        <v>50899.750000000007</v>
      </c>
      <c r="N18" s="12">
        <f t="shared" si="3"/>
        <v>84.753787878787875</v>
      </c>
    </row>
    <row r="19" spans="1:14" x14ac:dyDescent="0.25">
      <c r="A19" s="7">
        <v>17</v>
      </c>
      <c r="B19" s="3">
        <v>45643</v>
      </c>
      <c r="C19" s="2" t="s">
        <v>21</v>
      </c>
      <c r="D19" s="2">
        <v>439100</v>
      </c>
      <c r="E19" s="2">
        <v>347625</v>
      </c>
      <c r="F19" s="2">
        <v>0</v>
      </c>
      <c r="G19" s="2">
        <v>7566</v>
      </c>
      <c r="H19" s="2">
        <v>5016</v>
      </c>
      <c r="I19" s="2">
        <v>45230</v>
      </c>
      <c r="J19" s="2">
        <v>33663</v>
      </c>
      <c r="K19" s="4">
        <f t="shared" si="0"/>
        <v>46245</v>
      </c>
      <c r="L19" s="4">
        <f t="shared" si="1"/>
        <v>91475</v>
      </c>
      <c r="M19" s="4">
        <f t="shared" si="2"/>
        <v>50311.250000000007</v>
      </c>
      <c r="N19" s="12">
        <f t="shared" si="3"/>
        <v>83.162878787878796</v>
      </c>
    </row>
    <row r="20" spans="1:14" x14ac:dyDescent="0.25">
      <c r="A20" s="7">
        <v>18</v>
      </c>
      <c r="B20" s="3">
        <v>45644</v>
      </c>
      <c r="C20" s="2" t="s">
        <v>21</v>
      </c>
      <c r="D20" s="2">
        <v>439100</v>
      </c>
      <c r="E20" s="2">
        <v>347660</v>
      </c>
      <c r="F20" s="2">
        <v>0</v>
      </c>
      <c r="G20" s="2">
        <v>8710</v>
      </c>
      <c r="H20" s="2">
        <v>4492</v>
      </c>
      <c r="I20" s="2">
        <v>44624</v>
      </c>
      <c r="J20" s="2">
        <v>33615</v>
      </c>
      <c r="K20" s="4">
        <f t="shared" si="0"/>
        <v>46816</v>
      </c>
      <c r="L20" s="4">
        <f t="shared" si="1"/>
        <v>91440</v>
      </c>
      <c r="M20" s="4">
        <f t="shared" si="2"/>
        <v>50292.000000000007</v>
      </c>
      <c r="N20" s="12">
        <f t="shared" si="3"/>
        <v>83.162878787878796</v>
      </c>
    </row>
    <row r="21" spans="1:14" x14ac:dyDescent="0.25">
      <c r="A21" s="7">
        <v>19</v>
      </c>
      <c r="B21" s="3">
        <v>45645</v>
      </c>
      <c r="C21" s="2" t="s">
        <v>21</v>
      </c>
      <c r="D21" s="2">
        <v>471000</v>
      </c>
      <c r="E21" s="2">
        <v>375350</v>
      </c>
      <c r="F21" s="2">
        <v>0</v>
      </c>
      <c r="G21" s="2">
        <v>8714</v>
      </c>
      <c r="H21" s="2">
        <v>4555</v>
      </c>
      <c r="I21" s="2">
        <v>47352</v>
      </c>
      <c r="J21" s="2">
        <v>35029</v>
      </c>
      <c r="K21" s="4">
        <f t="shared" si="0"/>
        <v>48298</v>
      </c>
      <c r="L21" s="4">
        <f t="shared" si="1"/>
        <v>95650</v>
      </c>
      <c r="M21" s="4">
        <f t="shared" si="2"/>
        <v>52607.500000000007</v>
      </c>
      <c r="N21" s="12">
        <f t="shared" si="3"/>
        <v>89.204545454545453</v>
      </c>
    </row>
    <row r="22" spans="1:14" x14ac:dyDescent="0.25">
      <c r="A22" s="7">
        <v>20</v>
      </c>
      <c r="B22" s="3">
        <v>45646</v>
      </c>
      <c r="C22" s="2" t="s">
        <v>21</v>
      </c>
      <c r="D22" s="2">
        <v>471100</v>
      </c>
      <c r="E22" s="2">
        <v>376660</v>
      </c>
      <c r="F22" s="2">
        <v>0</v>
      </c>
      <c r="G22" s="2">
        <v>8048</v>
      </c>
      <c r="H22" s="2">
        <v>4367</v>
      </c>
      <c r="I22" s="2">
        <v>47304</v>
      </c>
      <c r="J22" s="2">
        <v>34721</v>
      </c>
      <c r="K22" s="4">
        <f t="shared" si="0"/>
        <v>47136</v>
      </c>
      <c r="L22" s="4">
        <f t="shared" si="1"/>
        <v>94440</v>
      </c>
      <c r="M22" s="4">
        <f t="shared" si="2"/>
        <v>51942.000000000007</v>
      </c>
      <c r="N22" s="12">
        <f t="shared" si="3"/>
        <v>89.223484848484844</v>
      </c>
    </row>
    <row r="23" spans="1:14" x14ac:dyDescent="0.25">
      <c r="A23" s="7">
        <v>21</v>
      </c>
      <c r="B23" s="3">
        <v>45647</v>
      </c>
      <c r="C23" s="2" t="s">
        <v>21</v>
      </c>
      <c r="D23" s="2">
        <v>477000</v>
      </c>
      <c r="E23" s="2">
        <v>380565</v>
      </c>
      <c r="F23" s="2">
        <v>0</v>
      </c>
      <c r="G23" s="2">
        <v>8343</v>
      </c>
      <c r="H23" s="2">
        <v>4566</v>
      </c>
      <c r="I23" s="2">
        <v>48423</v>
      </c>
      <c r="J23" s="2">
        <v>35104</v>
      </c>
      <c r="K23" s="4">
        <f t="shared" si="0"/>
        <v>48012</v>
      </c>
      <c r="L23" s="4">
        <f t="shared" si="1"/>
        <v>96435</v>
      </c>
      <c r="M23" s="4">
        <f t="shared" si="2"/>
        <v>53039.250000000007</v>
      </c>
      <c r="N23" s="12">
        <f t="shared" si="3"/>
        <v>90.340909090909093</v>
      </c>
    </row>
    <row r="24" spans="1:14" x14ac:dyDescent="0.25">
      <c r="A24" s="7">
        <v>22</v>
      </c>
      <c r="B24" s="3">
        <v>45648</v>
      </c>
      <c r="C24" s="2" t="s">
        <v>21</v>
      </c>
      <c r="D24" s="2">
        <v>472500</v>
      </c>
      <c r="E24" s="2">
        <v>376640</v>
      </c>
      <c r="F24" s="2">
        <v>0</v>
      </c>
      <c r="G24" s="2">
        <v>8003</v>
      </c>
      <c r="H24" s="2">
        <v>4216</v>
      </c>
      <c r="I24" s="2">
        <v>48519</v>
      </c>
      <c r="J24" s="2">
        <v>35122</v>
      </c>
      <c r="K24" s="4">
        <f t="shared" si="0"/>
        <v>47341</v>
      </c>
      <c r="L24" s="4">
        <f t="shared" si="1"/>
        <v>95860</v>
      </c>
      <c r="M24" s="4">
        <f t="shared" si="2"/>
        <v>52723.000000000007</v>
      </c>
      <c r="N24" s="12">
        <f t="shared" si="3"/>
        <v>89.48863636363636</v>
      </c>
    </row>
    <row r="25" spans="1:14" x14ac:dyDescent="0.25">
      <c r="A25" s="7">
        <v>23</v>
      </c>
      <c r="B25" s="3">
        <v>45649</v>
      </c>
      <c r="C25" s="2" t="s">
        <v>21</v>
      </c>
      <c r="D25" s="2">
        <v>483600</v>
      </c>
      <c r="E25" s="2">
        <v>387180</v>
      </c>
      <c r="F25" s="2">
        <v>0</v>
      </c>
      <c r="G25" s="2">
        <v>8660</v>
      </c>
      <c r="H25" s="2">
        <v>4374</v>
      </c>
      <c r="I25" s="2">
        <v>48786</v>
      </c>
      <c r="J25" s="2">
        <v>34600</v>
      </c>
      <c r="K25" s="4">
        <f t="shared" si="0"/>
        <v>47634</v>
      </c>
      <c r="L25" s="4">
        <f t="shared" si="1"/>
        <v>96420</v>
      </c>
      <c r="M25" s="4">
        <f t="shared" si="2"/>
        <v>53031.000000000007</v>
      </c>
      <c r="N25" s="12">
        <f t="shared" si="3"/>
        <v>91.590909090909093</v>
      </c>
    </row>
    <row r="26" spans="1:14" x14ac:dyDescent="0.25">
      <c r="A26" s="7">
        <v>24</v>
      </c>
      <c r="B26" s="3">
        <v>45650</v>
      </c>
      <c r="C26" s="2" t="s">
        <v>21</v>
      </c>
      <c r="D26" s="2">
        <v>507200</v>
      </c>
      <c r="E26" s="2">
        <v>407440</v>
      </c>
      <c r="F26" s="2">
        <v>0</v>
      </c>
      <c r="G26" s="2">
        <v>9832</v>
      </c>
      <c r="H26" s="2">
        <v>4405</v>
      </c>
      <c r="I26" s="2">
        <v>50192</v>
      </c>
      <c r="J26" s="2">
        <v>35330</v>
      </c>
      <c r="K26" s="4">
        <f t="shared" si="0"/>
        <v>49568</v>
      </c>
      <c r="L26" s="4">
        <f t="shared" si="1"/>
        <v>99760</v>
      </c>
      <c r="M26" s="4">
        <f t="shared" si="2"/>
        <v>54868.000000000007</v>
      </c>
      <c r="N26" s="12">
        <f t="shared" si="3"/>
        <v>96.060606060606062</v>
      </c>
    </row>
    <row r="27" spans="1:14" x14ac:dyDescent="0.25">
      <c r="A27" s="7">
        <v>25</v>
      </c>
      <c r="B27" s="3">
        <v>45651</v>
      </c>
      <c r="C27" s="2" t="s">
        <v>21</v>
      </c>
      <c r="D27" s="2">
        <v>498700</v>
      </c>
      <c r="E27" s="2">
        <v>398385</v>
      </c>
      <c r="F27" s="2">
        <v>0</v>
      </c>
      <c r="G27" s="2">
        <v>9722</v>
      </c>
      <c r="H27" s="2">
        <v>4825</v>
      </c>
      <c r="I27" s="2">
        <v>50405</v>
      </c>
      <c r="J27" s="2">
        <v>35363</v>
      </c>
      <c r="K27" s="4">
        <f t="shared" si="0"/>
        <v>49910</v>
      </c>
      <c r="L27" s="4">
        <f t="shared" si="1"/>
        <v>100315</v>
      </c>
      <c r="M27" s="4">
        <f t="shared" si="2"/>
        <v>55173.250000000007</v>
      </c>
      <c r="N27" s="12">
        <f t="shared" si="3"/>
        <v>94.450757575757578</v>
      </c>
    </row>
    <row r="28" spans="1:14" x14ac:dyDescent="0.25">
      <c r="A28" s="7">
        <v>26</v>
      </c>
      <c r="B28" s="3">
        <v>45652</v>
      </c>
      <c r="C28" s="2" t="s">
        <v>21</v>
      </c>
      <c r="D28" s="2">
        <v>484300</v>
      </c>
      <c r="E28" s="2">
        <v>384740</v>
      </c>
      <c r="F28" s="2">
        <v>0</v>
      </c>
      <c r="G28" s="2">
        <v>10084</v>
      </c>
      <c r="H28" s="2">
        <v>4533</v>
      </c>
      <c r="I28" s="2">
        <v>50550</v>
      </c>
      <c r="J28" s="2">
        <v>34393</v>
      </c>
      <c r="K28" s="4">
        <f t="shared" si="0"/>
        <v>49010</v>
      </c>
      <c r="L28" s="4">
        <f t="shared" si="1"/>
        <v>99560</v>
      </c>
      <c r="M28" s="4">
        <f t="shared" si="2"/>
        <v>54758.000000000007</v>
      </c>
      <c r="N28" s="12">
        <f t="shared" si="3"/>
        <v>91.723484848484844</v>
      </c>
    </row>
    <row r="29" spans="1:14" x14ac:dyDescent="0.25">
      <c r="A29" s="7">
        <v>27</v>
      </c>
      <c r="B29" s="3">
        <v>45653</v>
      </c>
      <c r="C29" s="2" t="s">
        <v>21</v>
      </c>
      <c r="D29" s="2">
        <v>474100</v>
      </c>
      <c r="E29" s="2">
        <v>379765</v>
      </c>
      <c r="F29" s="2">
        <v>0</v>
      </c>
      <c r="G29" s="2">
        <v>7994</v>
      </c>
      <c r="H29" s="2">
        <v>4080</v>
      </c>
      <c r="I29" s="2">
        <v>49958</v>
      </c>
      <c r="J29" s="2">
        <v>32303</v>
      </c>
      <c r="K29" s="4">
        <f t="shared" si="0"/>
        <v>44377</v>
      </c>
      <c r="L29" s="4">
        <f t="shared" si="1"/>
        <v>94335</v>
      </c>
      <c r="M29" s="4">
        <f t="shared" si="2"/>
        <v>51884.250000000007</v>
      </c>
      <c r="N29" s="12">
        <f t="shared" si="3"/>
        <v>89.791666666666671</v>
      </c>
    </row>
    <row r="30" spans="1:14" x14ac:dyDescent="0.25">
      <c r="A30" s="7">
        <v>28</v>
      </c>
      <c r="B30" s="3">
        <v>45654</v>
      </c>
      <c r="C30" s="2" t="s">
        <v>21</v>
      </c>
      <c r="D30" s="2">
        <v>482000</v>
      </c>
      <c r="E30" s="2">
        <v>385910</v>
      </c>
      <c r="F30" s="2">
        <v>0</v>
      </c>
      <c r="G30" s="2">
        <v>8646</v>
      </c>
      <c r="H30" s="2">
        <v>4833</v>
      </c>
      <c r="I30" s="2">
        <v>50492</v>
      </c>
      <c r="J30" s="2">
        <v>32119</v>
      </c>
      <c r="K30" s="4">
        <f t="shared" si="0"/>
        <v>45598</v>
      </c>
      <c r="L30" s="4">
        <f t="shared" si="1"/>
        <v>96090</v>
      </c>
      <c r="M30" s="4">
        <f t="shared" si="2"/>
        <v>52849.500000000007</v>
      </c>
      <c r="N30" s="12">
        <f t="shared" si="3"/>
        <v>91.287878787878782</v>
      </c>
    </row>
    <row r="31" spans="1:14" x14ac:dyDescent="0.25">
      <c r="A31" s="7">
        <v>29</v>
      </c>
      <c r="B31" s="3">
        <v>45655</v>
      </c>
      <c r="C31" s="2" t="s">
        <v>21</v>
      </c>
      <c r="D31" s="2">
        <v>485200</v>
      </c>
      <c r="E31" s="2">
        <v>388070</v>
      </c>
      <c r="F31" s="2">
        <v>0</v>
      </c>
      <c r="G31" s="2">
        <v>7786</v>
      </c>
      <c r="H31" s="2">
        <v>4615</v>
      </c>
      <c r="I31" s="2">
        <v>49685</v>
      </c>
      <c r="J31" s="2">
        <v>35044</v>
      </c>
      <c r="K31" s="4">
        <f t="shared" si="0"/>
        <v>47445</v>
      </c>
      <c r="L31" s="4">
        <f t="shared" si="1"/>
        <v>97130</v>
      </c>
      <c r="M31" s="4">
        <f t="shared" si="2"/>
        <v>53421.500000000007</v>
      </c>
      <c r="N31" s="12">
        <f t="shared" si="3"/>
        <v>91.893939393939391</v>
      </c>
    </row>
    <row r="32" spans="1:14" x14ac:dyDescent="0.25">
      <c r="A32" s="7">
        <v>30</v>
      </c>
      <c r="B32" s="3">
        <v>45656</v>
      </c>
      <c r="C32" s="2" t="s">
        <v>21</v>
      </c>
      <c r="D32" s="2">
        <v>509200</v>
      </c>
      <c r="E32" s="2">
        <v>409725</v>
      </c>
      <c r="F32" s="2">
        <v>0</v>
      </c>
      <c r="G32" s="2">
        <v>8939</v>
      </c>
      <c r="H32" s="2">
        <v>4086</v>
      </c>
      <c r="I32" s="2">
        <v>51053</v>
      </c>
      <c r="J32" s="2">
        <v>35397</v>
      </c>
      <c r="K32" s="4">
        <f t="shared" si="0"/>
        <v>48422</v>
      </c>
      <c r="L32" s="4">
        <f t="shared" si="1"/>
        <v>99475</v>
      </c>
      <c r="M32" s="4">
        <f t="shared" si="2"/>
        <v>54711.250000000007</v>
      </c>
      <c r="N32" s="12">
        <f t="shared" si="3"/>
        <v>96.439393939393938</v>
      </c>
    </row>
    <row r="33" spans="1:14" x14ac:dyDescent="0.25">
      <c r="A33" s="7">
        <v>31</v>
      </c>
      <c r="B33" s="3">
        <v>45657</v>
      </c>
      <c r="C33" s="2" t="s">
        <v>21</v>
      </c>
      <c r="D33" s="2">
        <v>486400</v>
      </c>
      <c r="E33" s="2">
        <v>388510</v>
      </c>
      <c r="F33" s="2">
        <v>0</v>
      </c>
      <c r="G33" s="2">
        <v>9184</v>
      </c>
      <c r="H33" s="2">
        <v>4005</v>
      </c>
      <c r="I33" s="2">
        <v>49648</v>
      </c>
      <c r="J33" s="2">
        <v>35053</v>
      </c>
      <c r="K33" s="4">
        <f t="shared" si="0"/>
        <v>48242</v>
      </c>
      <c r="L33" s="4">
        <f t="shared" si="1"/>
        <v>97890</v>
      </c>
      <c r="M33" s="4">
        <f t="shared" si="2"/>
        <v>53839.500000000007</v>
      </c>
      <c r="N33" s="12">
        <f t="shared" si="3"/>
        <v>92.121212121212125</v>
      </c>
    </row>
    <row r="34" spans="1:14" x14ac:dyDescent="0.25">
      <c r="A34" s="2"/>
      <c r="B34" s="2"/>
      <c r="C34" s="8" t="s">
        <v>15</v>
      </c>
      <c r="D34" s="8">
        <f t="shared" ref="D34:M34" si="4">SUM(D3:D33)</f>
        <v>12759300</v>
      </c>
      <c r="E34" s="8">
        <f t="shared" si="4"/>
        <v>9992295</v>
      </c>
      <c r="F34" s="8">
        <f t="shared" si="4"/>
        <v>30</v>
      </c>
      <c r="G34" s="8">
        <f t="shared" si="4"/>
        <v>245007</v>
      </c>
      <c r="H34" s="8">
        <f t="shared" si="4"/>
        <v>131309</v>
      </c>
      <c r="I34" s="8">
        <f t="shared" si="4"/>
        <v>1321676</v>
      </c>
      <c r="J34" s="8">
        <f t="shared" si="4"/>
        <v>1069043</v>
      </c>
      <c r="K34" s="8">
        <f t="shared" si="4"/>
        <v>1445329</v>
      </c>
      <c r="L34" s="8">
        <f t="shared" si="4"/>
        <v>2767005</v>
      </c>
      <c r="M34" s="8">
        <f t="shared" si="4"/>
        <v>1521852.75</v>
      </c>
      <c r="N34" s="13">
        <f>SUM(N3:N33)/31</f>
        <v>77.952712609970661</v>
      </c>
    </row>
    <row r="35" spans="1:14" x14ac:dyDescent="0.25">
      <c r="A35" s="2"/>
      <c r="B35" s="2"/>
      <c r="C35" s="8" t="s">
        <v>16</v>
      </c>
      <c r="D35" s="2">
        <v>12759380</v>
      </c>
      <c r="E35" s="2">
        <v>9986074</v>
      </c>
      <c r="F35" s="2"/>
      <c r="G35" s="2"/>
      <c r="H35" s="2"/>
      <c r="I35" s="2"/>
      <c r="J35" s="2"/>
      <c r="K35" s="2"/>
      <c r="L35" s="2"/>
      <c r="M35" s="2"/>
      <c r="N35" s="2"/>
    </row>
    <row r="36" spans="1:14" x14ac:dyDescent="0.25">
      <c r="A36" s="2"/>
      <c r="B36" s="2"/>
      <c r="C36" s="8" t="s">
        <v>17</v>
      </c>
      <c r="D36" s="2">
        <f>D35-D34</f>
        <v>80</v>
      </c>
      <c r="E36" s="2">
        <f>E34-E35</f>
        <v>6221</v>
      </c>
      <c r="F36" s="2">
        <v>30</v>
      </c>
      <c r="G36" s="63">
        <v>6271</v>
      </c>
      <c r="H36" s="64"/>
      <c r="I36" s="64"/>
      <c r="J36" s="64"/>
      <c r="K36" s="65"/>
      <c r="L36" s="2"/>
      <c r="M36" s="2"/>
      <c r="N36" s="2"/>
    </row>
    <row r="37" spans="1:14" x14ac:dyDescent="0.25">
      <c r="A37" s="2"/>
      <c r="B37" s="2"/>
      <c r="C37" s="8" t="s">
        <v>18</v>
      </c>
      <c r="D37" s="2"/>
      <c r="E37" s="2"/>
      <c r="F37" s="2"/>
      <c r="G37" s="2">
        <v>3135.5</v>
      </c>
      <c r="H37" s="2">
        <v>1254.2</v>
      </c>
      <c r="I37" s="2"/>
      <c r="J37" s="2">
        <v>1881.3</v>
      </c>
      <c r="K37" s="2"/>
      <c r="L37" s="2"/>
      <c r="M37" s="2"/>
      <c r="N37" s="2"/>
    </row>
    <row r="38" spans="1:14" x14ac:dyDescent="0.25">
      <c r="A38" s="2"/>
      <c r="B38" s="2"/>
      <c r="C38" s="8" t="s">
        <v>19</v>
      </c>
      <c r="D38" s="2">
        <v>566933.19999999995</v>
      </c>
      <c r="E38" s="2"/>
      <c r="F38" s="2"/>
      <c r="G38" s="2">
        <f>G34+G37</f>
        <v>248142.5</v>
      </c>
      <c r="H38" s="2">
        <f>H34+H37</f>
        <v>132563.20000000001</v>
      </c>
      <c r="I38" s="2"/>
      <c r="J38" s="2">
        <f>J34+J37</f>
        <v>1070924.3</v>
      </c>
      <c r="K38" s="2"/>
      <c r="L38" s="2"/>
      <c r="M38" s="2"/>
      <c r="N38" s="2"/>
    </row>
    <row r="39" spans="1:14" x14ac:dyDescent="0.25">
      <c r="A39" s="2"/>
      <c r="B39" s="2"/>
      <c r="C39" s="8" t="s">
        <v>20</v>
      </c>
      <c r="D39" s="2">
        <v>579692.57999999996</v>
      </c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x14ac:dyDescent="0.25">
      <c r="A40" s="1"/>
      <c r="B40" s="1"/>
      <c r="C40" s="1"/>
      <c r="D40" s="1">
        <f>D39-D38</f>
        <v>12759.380000000005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x14ac:dyDescent="0.25">
      <c r="A41" s="1"/>
      <c r="B41" s="1"/>
      <c r="C41" s="1"/>
      <c r="D41" s="1"/>
      <c r="E41" s="1"/>
      <c r="F41" s="1"/>
      <c r="G41" s="1">
        <f>G34+H34+I34+J34</f>
        <v>2767035</v>
      </c>
      <c r="H41" s="1"/>
      <c r="I41" s="1"/>
      <c r="J41" s="1">
        <f>G37/G36</f>
        <v>0.5</v>
      </c>
      <c r="K41" s="1"/>
      <c r="L41" s="1"/>
      <c r="M41" s="1"/>
      <c r="N41" s="1"/>
    </row>
    <row r="42" spans="1:14" x14ac:dyDescent="0.25">
      <c r="A42" s="1"/>
      <c r="B42" s="1"/>
      <c r="C42" s="1"/>
      <c r="D42" s="1"/>
      <c r="E42" s="1"/>
      <c r="F42" s="1"/>
      <c r="G42" s="1"/>
      <c r="H42" s="1"/>
      <c r="I42" s="1"/>
      <c r="J42" s="1">
        <f>H37/G36</f>
        <v>0.2</v>
      </c>
      <c r="K42" s="1"/>
      <c r="L42" s="1"/>
      <c r="M42" s="1"/>
      <c r="N42" s="1"/>
    </row>
    <row r="43" spans="1:14" x14ac:dyDescent="0.25">
      <c r="A43" s="1"/>
      <c r="B43" s="1"/>
      <c r="C43" s="1"/>
      <c r="D43" s="1">
        <f>D34+F34</f>
        <v>12759330</v>
      </c>
      <c r="E43" s="1"/>
      <c r="F43" s="1"/>
      <c r="G43" s="1"/>
      <c r="H43" s="2"/>
      <c r="I43" s="1"/>
      <c r="J43" s="1">
        <f>J37/G36</f>
        <v>0.3</v>
      </c>
      <c r="K43" s="1"/>
      <c r="L43" s="1"/>
      <c r="M43" s="1"/>
      <c r="N43" s="1"/>
    </row>
    <row r="44" spans="1:14" x14ac:dyDescent="0.25">
      <c r="A44" s="1"/>
      <c r="B44" s="1"/>
      <c r="C44" s="1"/>
      <c r="D44" s="1">
        <f>G34+H34+I34+J34+E34</f>
        <v>12759330</v>
      </c>
      <c r="E44" s="1"/>
      <c r="F44" s="1"/>
      <c r="G44" s="1"/>
      <c r="H44" s="2"/>
      <c r="I44" s="1"/>
      <c r="J44" s="1"/>
      <c r="K44" s="1"/>
      <c r="L44" s="1"/>
      <c r="M44" s="1"/>
      <c r="N44" s="1"/>
    </row>
    <row r="45" spans="1:14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>
        <v>2</v>
      </c>
      <c r="N45" s="1"/>
    </row>
    <row r="46" spans="1:14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</sheetData>
  <mergeCells count="2">
    <mergeCell ref="A1:N1"/>
    <mergeCell ref="G36:K36"/>
  </mergeCells>
  <pageMargins left="0.7" right="0.7" top="0.75" bottom="0.75" header="0.3" footer="0.3"/>
  <pageSetup paperSize="9"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48"/>
  <sheetViews>
    <sheetView topLeftCell="C1" workbookViewId="0">
      <selection activeCell="N33" sqref="N33"/>
    </sheetView>
  </sheetViews>
  <sheetFormatPr defaultRowHeight="15" x14ac:dyDescent="0.25"/>
  <cols>
    <col min="1" max="1" width="5.5703125" bestFit="1" customWidth="1"/>
    <col min="2" max="2" width="10.140625" customWidth="1"/>
    <col min="3" max="3" width="18.42578125" bestFit="1" customWidth="1"/>
    <col min="4" max="4" width="13.7109375" bestFit="1" customWidth="1"/>
    <col min="5" max="5" width="12" bestFit="1" customWidth="1"/>
    <col min="6" max="6" width="11.85546875" bestFit="1" customWidth="1"/>
    <col min="7" max="8" width="17.28515625" bestFit="1" customWidth="1"/>
    <col min="10" max="10" width="16.28515625" bestFit="1" customWidth="1"/>
    <col min="11" max="11" width="10.42578125" bestFit="1" customWidth="1"/>
    <col min="12" max="12" width="25.140625" customWidth="1"/>
    <col min="13" max="13" width="11.5703125" bestFit="1" customWidth="1"/>
  </cols>
  <sheetData>
    <row r="1" spans="1:14" ht="40.5" customHeight="1" thickBot="1" x14ac:dyDescent="0.3">
      <c r="A1" s="74" t="s">
        <v>14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6"/>
    </row>
    <row r="2" spans="1:14" ht="15.75" thickBot="1" x14ac:dyDescent="0.3">
      <c r="A2" s="9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0" t="s">
        <v>10</v>
      </c>
      <c r="L2" s="10" t="s">
        <v>11</v>
      </c>
      <c r="M2" s="10" t="s">
        <v>12</v>
      </c>
      <c r="N2" s="11" t="s">
        <v>13</v>
      </c>
    </row>
    <row r="3" spans="1:14" x14ac:dyDescent="0.25">
      <c r="A3" s="6">
        <v>1</v>
      </c>
      <c r="B3" s="5">
        <v>45597</v>
      </c>
      <c r="C3" s="4" t="s">
        <v>21</v>
      </c>
      <c r="D3" s="4">
        <v>453500</v>
      </c>
      <c r="E3" s="4">
        <v>4250</v>
      </c>
      <c r="F3" s="4">
        <v>58060</v>
      </c>
      <c r="G3" s="4">
        <v>368676</v>
      </c>
      <c r="H3" s="4">
        <v>54636</v>
      </c>
      <c r="I3" s="4">
        <v>51578</v>
      </c>
      <c r="J3" s="4">
        <v>32420</v>
      </c>
      <c r="K3" s="4">
        <f>D3-E3-I3</f>
        <v>397672</v>
      </c>
      <c r="L3" s="4">
        <f>D3-E3</f>
        <v>449250</v>
      </c>
      <c r="M3" s="4">
        <f>L3*0.55</f>
        <v>247087.50000000003</v>
      </c>
      <c r="N3" s="12">
        <f>(D3/528000)*100</f>
        <v>85.890151515151516</v>
      </c>
    </row>
    <row r="4" spans="1:14" x14ac:dyDescent="0.25">
      <c r="A4" s="7">
        <v>2</v>
      </c>
      <c r="B4" s="3">
        <v>45598</v>
      </c>
      <c r="C4" s="2" t="s">
        <v>21</v>
      </c>
      <c r="D4" s="2">
        <v>457300</v>
      </c>
      <c r="E4" s="2">
        <v>7420</v>
      </c>
      <c r="F4" s="2">
        <v>51405</v>
      </c>
      <c r="G4" s="2">
        <v>360690</v>
      </c>
      <c r="H4" s="2">
        <v>55785</v>
      </c>
      <c r="I4" s="2">
        <v>52063</v>
      </c>
      <c r="J4" s="2">
        <v>32747</v>
      </c>
      <c r="K4" s="4">
        <f t="shared" ref="K4:K32" si="0">D4-E4-I4</f>
        <v>397817</v>
      </c>
      <c r="L4" s="4">
        <f t="shared" ref="L4:L32" si="1">D4-E4</f>
        <v>449880</v>
      </c>
      <c r="M4" s="4">
        <f t="shared" ref="M4:M32" si="2">L4*0.55</f>
        <v>247434.00000000003</v>
      </c>
      <c r="N4" s="12">
        <f t="shared" ref="N4:N31" si="3">(D4/528000)*100</f>
        <v>86.609848484848484</v>
      </c>
    </row>
    <row r="5" spans="1:14" x14ac:dyDescent="0.25">
      <c r="A5" s="7">
        <v>3</v>
      </c>
      <c r="B5" s="3">
        <v>45599</v>
      </c>
      <c r="C5" s="2" t="s">
        <v>21</v>
      </c>
      <c r="D5" s="2">
        <v>477400</v>
      </c>
      <c r="E5" s="2">
        <v>7780</v>
      </c>
      <c r="F5" s="2">
        <v>41310</v>
      </c>
      <c r="G5" s="2">
        <v>375637</v>
      </c>
      <c r="H5" s="2">
        <v>47357</v>
      </c>
      <c r="I5" s="2">
        <v>51796</v>
      </c>
      <c r="J5" s="2">
        <v>36140</v>
      </c>
      <c r="K5" s="4">
        <f t="shared" si="0"/>
        <v>417824</v>
      </c>
      <c r="L5" s="4">
        <f t="shared" si="1"/>
        <v>469620</v>
      </c>
      <c r="M5" s="4">
        <f t="shared" si="2"/>
        <v>258291.00000000003</v>
      </c>
      <c r="N5" s="12">
        <f t="shared" si="3"/>
        <v>90.416666666666671</v>
      </c>
    </row>
    <row r="6" spans="1:14" x14ac:dyDescent="0.25">
      <c r="A6" s="7">
        <v>4</v>
      </c>
      <c r="B6" s="3">
        <v>45600</v>
      </c>
      <c r="C6" s="2" t="s">
        <v>21</v>
      </c>
      <c r="D6" s="2">
        <v>491100</v>
      </c>
      <c r="E6" s="2">
        <v>6885</v>
      </c>
      <c r="F6" s="2">
        <v>32970</v>
      </c>
      <c r="G6" s="2">
        <v>376372</v>
      </c>
      <c r="H6" s="2">
        <v>52322</v>
      </c>
      <c r="I6" s="2">
        <v>52608</v>
      </c>
      <c r="J6" s="2">
        <v>35883</v>
      </c>
      <c r="K6" s="4">
        <f t="shared" si="0"/>
        <v>431607</v>
      </c>
      <c r="L6" s="4">
        <f t="shared" si="1"/>
        <v>484215</v>
      </c>
      <c r="M6" s="4">
        <f t="shared" si="2"/>
        <v>266318.25</v>
      </c>
      <c r="N6" s="12">
        <f t="shared" si="3"/>
        <v>93.011363636363626</v>
      </c>
    </row>
    <row r="7" spans="1:14" x14ac:dyDescent="0.25">
      <c r="A7" s="7">
        <v>5</v>
      </c>
      <c r="B7" s="3">
        <v>45601</v>
      </c>
      <c r="C7" s="2" t="s">
        <v>21</v>
      </c>
      <c r="D7" s="2">
        <v>494900</v>
      </c>
      <c r="E7" s="2">
        <v>9765</v>
      </c>
      <c r="F7" s="2">
        <v>31195</v>
      </c>
      <c r="G7" s="2">
        <v>371480</v>
      </c>
      <c r="H7" s="2">
        <v>56864</v>
      </c>
      <c r="I7" s="2">
        <v>52110</v>
      </c>
      <c r="J7" s="2">
        <v>35876</v>
      </c>
      <c r="K7" s="4">
        <f t="shared" si="0"/>
        <v>433025</v>
      </c>
      <c r="L7" s="4">
        <f t="shared" si="1"/>
        <v>485135</v>
      </c>
      <c r="M7" s="4">
        <f t="shared" si="2"/>
        <v>266824.25</v>
      </c>
      <c r="N7" s="12">
        <f t="shared" si="3"/>
        <v>93.731060606060595</v>
      </c>
    </row>
    <row r="8" spans="1:14" x14ac:dyDescent="0.25">
      <c r="A8" s="7">
        <v>6</v>
      </c>
      <c r="B8" s="3">
        <v>45602</v>
      </c>
      <c r="C8" s="2" t="s">
        <v>21</v>
      </c>
      <c r="D8" s="2">
        <v>491100</v>
      </c>
      <c r="E8" s="2">
        <v>10710</v>
      </c>
      <c r="F8" s="2">
        <v>26660</v>
      </c>
      <c r="G8" s="2">
        <v>376807</v>
      </c>
      <c r="H8" s="2">
        <v>41567</v>
      </c>
      <c r="I8" s="2">
        <v>52601</v>
      </c>
      <c r="J8" s="2">
        <v>36075</v>
      </c>
      <c r="K8" s="4">
        <f t="shared" si="0"/>
        <v>427789</v>
      </c>
      <c r="L8" s="4">
        <f t="shared" si="1"/>
        <v>480390</v>
      </c>
      <c r="M8" s="4">
        <f t="shared" si="2"/>
        <v>264214.5</v>
      </c>
      <c r="N8" s="12">
        <f t="shared" si="3"/>
        <v>93.011363636363626</v>
      </c>
    </row>
    <row r="9" spans="1:14" x14ac:dyDescent="0.25">
      <c r="A9" s="7">
        <v>7</v>
      </c>
      <c r="B9" s="3">
        <v>45603</v>
      </c>
      <c r="C9" s="2" t="s">
        <v>21</v>
      </c>
      <c r="D9" s="2">
        <v>504100</v>
      </c>
      <c r="E9" s="2">
        <v>10705</v>
      </c>
      <c r="F9" s="2">
        <v>24605</v>
      </c>
      <c r="G9" s="2">
        <v>377318</v>
      </c>
      <c r="H9" s="2">
        <v>52343</v>
      </c>
      <c r="I9" s="2">
        <v>52627</v>
      </c>
      <c r="J9" s="2">
        <v>35712</v>
      </c>
      <c r="K9" s="4">
        <f t="shared" si="0"/>
        <v>440768</v>
      </c>
      <c r="L9" s="4">
        <f t="shared" si="1"/>
        <v>493395</v>
      </c>
      <c r="M9" s="4">
        <f t="shared" si="2"/>
        <v>271367.25</v>
      </c>
      <c r="N9" s="12">
        <f t="shared" si="3"/>
        <v>95.473484848484844</v>
      </c>
    </row>
    <row r="10" spans="1:14" x14ac:dyDescent="0.25">
      <c r="A10" s="7">
        <v>8</v>
      </c>
      <c r="B10" s="3">
        <v>45604</v>
      </c>
      <c r="C10" s="2" t="s">
        <v>21</v>
      </c>
      <c r="D10" s="2">
        <v>502500</v>
      </c>
      <c r="E10" s="2">
        <v>13135</v>
      </c>
      <c r="F10" s="2">
        <v>27435</v>
      </c>
      <c r="G10" s="2">
        <v>376919</v>
      </c>
      <c r="H10" s="2">
        <v>52640</v>
      </c>
      <c r="I10" s="2">
        <v>53116</v>
      </c>
      <c r="J10" s="2">
        <v>34125</v>
      </c>
      <c r="K10" s="4">
        <f t="shared" si="0"/>
        <v>436249</v>
      </c>
      <c r="L10" s="4">
        <f t="shared" si="1"/>
        <v>489365</v>
      </c>
      <c r="M10" s="4">
        <f t="shared" si="2"/>
        <v>269150.75</v>
      </c>
      <c r="N10" s="12">
        <f t="shared" si="3"/>
        <v>95.170454545454547</v>
      </c>
    </row>
    <row r="11" spans="1:14" x14ac:dyDescent="0.25">
      <c r="A11" s="7">
        <v>9</v>
      </c>
      <c r="B11" s="3">
        <v>45605</v>
      </c>
      <c r="C11" s="2" t="s">
        <v>21</v>
      </c>
      <c r="D11" s="2">
        <v>521500</v>
      </c>
      <c r="E11" s="2">
        <v>14475</v>
      </c>
      <c r="F11" s="2">
        <v>18905</v>
      </c>
      <c r="G11" s="2">
        <v>383513</v>
      </c>
      <c r="H11" s="2">
        <v>54875</v>
      </c>
      <c r="I11" s="2">
        <v>52418</v>
      </c>
      <c r="J11" s="2">
        <v>35124</v>
      </c>
      <c r="K11" s="4">
        <f t="shared" si="0"/>
        <v>454607</v>
      </c>
      <c r="L11" s="4">
        <f t="shared" si="1"/>
        <v>507025</v>
      </c>
      <c r="M11" s="4">
        <f t="shared" si="2"/>
        <v>278863.75</v>
      </c>
      <c r="N11" s="12">
        <f t="shared" si="3"/>
        <v>98.768939393939391</v>
      </c>
    </row>
    <row r="12" spans="1:14" x14ac:dyDescent="0.25">
      <c r="A12" s="7">
        <v>10</v>
      </c>
      <c r="B12" s="3">
        <v>45606</v>
      </c>
      <c r="C12" s="2" t="s">
        <v>21</v>
      </c>
      <c r="D12" s="2">
        <v>517600</v>
      </c>
      <c r="E12" s="2">
        <v>19020</v>
      </c>
      <c r="F12" s="2">
        <v>14920</v>
      </c>
      <c r="G12" s="2">
        <v>371954</v>
      </c>
      <c r="H12" s="2">
        <v>53855</v>
      </c>
      <c r="I12" s="2">
        <v>52758</v>
      </c>
      <c r="J12" s="2">
        <v>34933</v>
      </c>
      <c r="K12" s="4">
        <f t="shared" si="0"/>
        <v>445822</v>
      </c>
      <c r="L12" s="4">
        <f t="shared" si="1"/>
        <v>498580</v>
      </c>
      <c r="M12" s="4">
        <f t="shared" si="2"/>
        <v>274219</v>
      </c>
      <c r="N12" s="12">
        <f t="shared" si="3"/>
        <v>98.030303030303031</v>
      </c>
    </row>
    <row r="13" spans="1:14" x14ac:dyDescent="0.25">
      <c r="A13" s="7">
        <v>11</v>
      </c>
      <c r="B13" s="3">
        <v>45607</v>
      </c>
      <c r="C13" s="2" t="s">
        <v>21</v>
      </c>
      <c r="D13" s="2">
        <v>500300</v>
      </c>
      <c r="E13" s="2">
        <v>12630</v>
      </c>
      <c r="F13" s="2">
        <v>21600</v>
      </c>
      <c r="G13" s="2">
        <v>366820</v>
      </c>
      <c r="H13" s="2">
        <v>55576</v>
      </c>
      <c r="I13" s="2">
        <v>52205</v>
      </c>
      <c r="J13" s="2">
        <v>34669</v>
      </c>
      <c r="K13" s="4">
        <f t="shared" si="0"/>
        <v>435465</v>
      </c>
      <c r="L13" s="4">
        <f t="shared" si="1"/>
        <v>487670</v>
      </c>
      <c r="M13" s="4">
        <f t="shared" si="2"/>
        <v>268218.5</v>
      </c>
      <c r="N13" s="12">
        <f t="shared" si="3"/>
        <v>94.753787878787875</v>
      </c>
    </row>
    <row r="14" spans="1:14" x14ac:dyDescent="0.25">
      <c r="A14" s="7">
        <v>12</v>
      </c>
      <c r="B14" s="3">
        <v>45608</v>
      </c>
      <c r="C14" s="2" t="s">
        <v>21</v>
      </c>
      <c r="D14" s="2">
        <v>446100</v>
      </c>
      <c r="E14" s="2">
        <v>2905</v>
      </c>
      <c r="F14" s="2">
        <v>55290</v>
      </c>
      <c r="G14" s="2">
        <v>355985</v>
      </c>
      <c r="H14" s="2">
        <v>57639</v>
      </c>
      <c r="I14" s="2">
        <v>50894</v>
      </c>
      <c r="J14" s="2">
        <v>33967</v>
      </c>
      <c r="K14" s="4">
        <f t="shared" si="0"/>
        <v>392301</v>
      </c>
      <c r="L14" s="4">
        <f t="shared" si="1"/>
        <v>443195</v>
      </c>
      <c r="M14" s="4">
        <f t="shared" si="2"/>
        <v>243757.25000000003</v>
      </c>
      <c r="N14" s="12">
        <f t="shared" si="3"/>
        <v>84.48863636363636</v>
      </c>
    </row>
    <row r="15" spans="1:14" x14ac:dyDescent="0.25">
      <c r="A15" s="7">
        <v>13</v>
      </c>
      <c r="B15" s="3">
        <v>45609</v>
      </c>
      <c r="C15" s="2" t="s">
        <v>21</v>
      </c>
      <c r="D15" s="2">
        <v>399700</v>
      </c>
      <c r="E15" s="2">
        <v>1035</v>
      </c>
      <c r="F15" s="2">
        <v>68230</v>
      </c>
      <c r="G15" s="2">
        <v>337063</v>
      </c>
      <c r="H15" s="2">
        <v>49878</v>
      </c>
      <c r="I15" s="2">
        <v>50551</v>
      </c>
      <c r="J15" s="2">
        <v>29403</v>
      </c>
      <c r="K15" s="4">
        <f t="shared" si="0"/>
        <v>348114</v>
      </c>
      <c r="L15" s="4">
        <f t="shared" si="1"/>
        <v>398665</v>
      </c>
      <c r="M15" s="4">
        <f t="shared" si="2"/>
        <v>219265.75000000003</v>
      </c>
      <c r="N15" s="12">
        <f t="shared" si="3"/>
        <v>75.700757575757578</v>
      </c>
    </row>
    <row r="16" spans="1:14" x14ac:dyDescent="0.25">
      <c r="A16" s="7">
        <v>14</v>
      </c>
      <c r="B16" s="3">
        <v>45610</v>
      </c>
      <c r="C16" s="2" t="s">
        <v>21</v>
      </c>
      <c r="D16" s="2">
        <v>377900</v>
      </c>
      <c r="E16" s="2">
        <v>255</v>
      </c>
      <c r="F16" s="2">
        <v>78485</v>
      </c>
      <c r="G16" s="2">
        <v>345058</v>
      </c>
      <c r="H16" s="2">
        <v>36528</v>
      </c>
      <c r="I16" s="2">
        <v>50465</v>
      </c>
      <c r="J16" s="2">
        <v>24080</v>
      </c>
      <c r="K16" s="4">
        <f t="shared" si="0"/>
        <v>327180</v>
      </c>
      <c r="L16" s="4">
        <f t="shared" si="1"/>
        <v>377645</v>
      </c>
      <c r="M16" s="4">
        <f t="shared" si="2"/>
        <v>207704.75000000003</v>
      </c>
      <c r="N16" s="12">
        <f t="shared" si="3"/>
        <v>71.571969696969688</v>
      </c>
    </row>
    <row r="17" spans="1:14" x14ac:dyDescent="0.25">
      <c r="A17" s="7">
        <v>15</v>
      </c>
      <c r="B17" s="3">
        <v>45611</v>
      </c>
      <c r="C17" s="2" t="s">
        <v>21</v>
      </c>
      <c r="D17" s="2">
        <v>226400</v>
      </c>
      <c r="E17" s="2">
        <v>119940</v>
      </c>
      <c r="F17" s="2">
        <v>920</v>
      </c>
      <c r="G17" s="2">
        <v>30982</v>
      </c>
      <c r="H17" s="2">
        <v>16784</v>
      </c>
      <c r="I17" s="2">
        <v>38614</v>
      </c>
      <c r="J17" s="2">
        <v>21000</v>
      </c>
      <c r="K17" s="4">
        <f t="shared" si="0"/>
        <v>67846</v>
      </c>
      <c r="L17" s="4">
        <f t="shared" si="1"/>
        <v>106460</v>
      </c>
      <c r="M17" s="4">
        <f t="shared" si="2"/>
        <v>58553.000000000007</v>
      </c>
      <c r="N17" s="12">
        <f t="shared" si="3"/>
        <v>42.878787878787875</v>
      </c>
    </row>
    <row r="18" spans="1:14" x14ac:dyDescent="0.25">
      <c r="A18" s="7">
        <v>16</v>
      </c>
      <c r="B18" s="3">
        <v>45612</v>
      </c>
      <c r="C18" s="2" t="s">
        <v>21</v>
      </c>
      <c r="D18" s="2">
        <v>200300</v>
      </c>
      <c r="E18" s="2">
        <v>130115</v>
      </c>
      <c r="F18" s="2">
        <v>0</v>
      </c>
      <c r="G18" s="2">
        <v>4843</v>
      </c>
      <c r="H18" s="2">
        <v>7473</v>
      </c>
      <c r="I18" s="2">
        <v>35834</v>
      </c>
      <c r="J18" s="2">
        <v>22035</v>
      </c>
      <c r="K18" s="4">
        <f t="shared" si="0"/>
        <v>34351</v>
      </c>
      <c r="L18" s="4">
        <f t="shared" si="1"/>
        <v>70185</v>
      </c>
      <c r="M18" s="4">
        <f t="shared" si="2"/>
        <v>38601.75</v>
      </c>
      <c r="N18" s="12">
        <f t="shared" si="3"/>
        <v>37.935606060606055</v>
      </c>
    </row>
    <row r="19" spans="1:14" x14ac:dyDescent="0.25">
      <c r="A19" s="7">
        <v>17</v>
      </c>
      <c r="B19" s="3">
        <v>45613</v>
      </c>
      <c r="C19" s="2" t="s">
        <v>21</v>
      </c>
      <c r="D19" s="2">
        <v>243700</v>
      </c>
      <c r="E19" s="2">
        <v>167670</v>
      </c>
      <c r="F19" s="2">
        <v>0</v>
      </c>
      <c r="G19" s="2">
        <v>4209</v>
      </c>
      <c r="H19" s="2">
        <v>6676</v>
      </c>
      <c r="I19" s="2">
        <v>36652</v>
      </c>
      <c r="J19" s="2">
        <v>28493</v>
      </c>
      <c r="K19" s="4">
        <f t="shared" si="0"/>
        <v>39378</v>
      </c>
      <c r="L19" s="4">
        <f t="shared" si="1"/>
        <v>76030</v>
      </c>
      <c r="M19" s="4">
        <f t="shared" si="2"/>
        <v>41816.5</v>
      </c>
      <c r="N19" s="12">
        <f t="shared" si="3"/>
        <v>46.155303030303031</v>
      </c>
    </row>
    <row r="20" spans="1:14" x14ac:dyDescent="0.25">
      <c r="A20" s="7">
        <v>18</v>
      </c>
      <c r="B20" s="3">
        <v>45614</v>
      </c>
      <c r="C20" s="2" t="s">
        <v>21</v>
      </c>
      <c r="D20" s="2">
        <v>361500</v>
      </c>
      <c r="E20" s="2">
        <v>273730</v>
      </c>
      <c r="F20" s="2">
        <v>0</v>
      </c>
      <c r="G20" s="2">
        <v>5080</v>
      </c>
      <c r="H20" s="2">
        <v>7261</v>
      </c>
      <c r="I20" s="2">
        <v>42868</v>
      </c>
      <c r="J20" s="2">
        <v>32561</v>
      </c>
      <c r="K20" s="4">
        <f t="shared" si="0"/>
        <v>44902</v>
      </c>
      <c r="L20" s="4">
        <f t="shared" si="1"/>
        <v>87770</v>
      </c>
      <c r="M20" s="4">
        <f t="shared" si="2"/>
        <v>48273.500000000007</v>
      </c>
      <c r="N20" s="12">
        <f t="shared" si="3"/>
        <v>68.465909090909093</v>
      </c>
    </row>
    <row r="21" spans="1:14" x14ac:dyDescent="0.25">
      <c r="A21" s="7">
        <v>19</v>
      </c>
      <c r="B21" s="3">
        <v>45615</v>
      </c>
      <c r="C21" s="2" t="s">
        <v>21</v>
      </c>
      <c r="D21" s="2">
        <v>428400</v>
      </c>
      <c r="E21" s="2">
        <v>334115</v>
      </c>
      <c r="F21" s="2">
        <v>0</v>
      </c>
      <c r="G21" s="2">
        <v>5872</v>
      </c>
      <c r="H21" s="2">
        <v>3436</v>
      </c>
      <c r="I21" s="2">
        <v>47102</v>
      </c>
      <c r="J21" s="2">
        <v>37875</v>
      </c>
      <c r="K21" s="4">
        <f t="shared" si="0"/>
        <v>47183</v>
      </c>
      <c r="L21" s="4">
        <f t="shared" si="1"/>
        <v>94285</v>
      </c>
      <c r="M21" s="4">
        <f t="shared" si="2"/>
        <v>51856.750000000007</v>
      </c>
      <c r="N21" s="12">
        <f t="shared" si="3"/>
        <v>81.13636363636364</v>
      </c>
    </row>
    <row r="22" spans="1:14" x14ac:dyDescent="0.25">
      <c r="A22" s="7">
        <v>20</v>
      </c>
      <c r="B22" s="3">
        <v>45616</v>
      </c>
      <c r="C22" s="2" t="s">
        <v>21</v>
      </c>
      <c r="D22" s="2">
        <v>431200</v>
      </c>
      <c r="E22" s="2">
        <v>336407</v>
      </c>
      <c r="F22" s="2">
        <v>5</v>
      </c>
      <c r="G22" s="2">
        <v>7640</v>
      </c>
      <c r="H22" s="2">
        <v>2449</v>
      </c>
      <c r="I22" s="2">
        <v>45813</v>
      </c>
      <c r="J22" s="2">
        <v>38896</v>
      </c>
      <c r="K22" s="4">
        <f t="shared" si="0"/>
        <v>48980</v>
      </c>
      <c r="L22" s="4">
        <f t="shared" si="1"/>
        <v>94793</v>
      </c>
      <c r="M22" s="4">
        <f t="shared" si="2"/>
        <v>52136.15</v>
      </c>
      <c r="N22" s="12">
        <f t="shared" si="3"/>
        <v>81.666666666666671</v>
      </c>
    </row>
    <row r="23" spans="1:14" x14ac:dyDescent="0.25">
      <c r="A23" s="7">
        <v>21</v>
      </c>
      <c r="B23" s="3">
        <v>45617</v>
      </c>
      <c r="C23" s="2" t="s">
        <v>21</v>
      </c>
      <c r="D23" s="2">
        <v>463400</v>
      </c>
      <c r="E23" s="2">
        <v>366295</v>
      </c>
      <c r="F23" s="2">
        <v>0</v>
      </c>
      <c r="G23" s="2">
        <v>5501.58</v>
      </c>
      <c r="H23" s="2">
        <v>5000.92</v>
      </c>
      <c r="I23" s="2">
        <v>47230</v>
      </c>
      <c r="J23" s="2">
        <v>39372.5</v>
      </c>
      <c r="K23" s="4">
        <f t="shared" si="0"/>
        <v>49875</v>
      </c>
      <c r="L23" s="4">
        <f t="shared" si="1"/>
        <v>97105</v>
      </c>
      <c r="M23" s="4">
        <f t="shared" si="2"/>
        <v>53407.750000000007</v>
      </c>
      <c r="N23" s="12">
        <f t="shared" si="3"/>
        <v>87.765151515151516</v>
      </c>
    </row>
    <row r="24" spans="1:14" x14ac:dyDescent="0.25">
      <c r="A24" s="7">
        <v>22</v>
      </c>
      <c r="B24" s="3">
        <v>45618</v>
      </c>
      <c r="C24" s="2" t="s">
        <v>21</v>
      </c>
      <c r="D24" s="2">
        <v>472100</v>
      </c>
      <c r="E24" s="2">
        <v>372770</v>
      </c>
      <c r="F24" s="2">
        <v>10</v>
      </c>
      <c r="G24" s="2">
        <v>5284.04</v>
      </c>
      <c r="H24" s="2">
        <v>5640.56</v>
      </c>
      <c r="I24" s="2">
        <v>49162</v>
      </c>
      <c r="J24" s="2">
        <v>39253</v>
      </c>
      <c r="K24" s="4">
        <f t="shared" si="0"/>
        <v>50168</v>
      </c>
      <c r="L24" s="4">
        <f t="shared" si="1"/>
        <v>99330</v>
      </c>
      <c r="M24" s="4">
        <f t="shared" si="2"/>
        <v>54631.500000000007</v>
      </c>
      <c r="N24" s="12">
        <f t="shared" si="3"/>
        <v>89.412878787878796</v>
      </c>
    </row>
    <row r="25" spans="1:14" x14ac:dyDescent="0.25">
      <c r="A25" s="7">
        <v>23</v>
      </c>
      <c r="B25" s="3">
        <v>45619</v>
      </c>
      <c r="C25" s="2" t="s">
        <v>21</v>
      </c>
      <c r="D25" s="2">
        <v>475200</v>
      </c>
      <c r="E25" s="2">
        <v>377185</v>
      </c>
      <c r="F25" s="2">
        <v>0</v>
      </c>
      <c r="G25" s="2">
        <v>6536.38</v>
      </c>
      <c r="H25" s="2">
        <v>4522.22</v>
      </c>
      <c r="I25" s="2">
        <v>48817</v>
      </c>
      <c r="J25" s="2">
        <v>38139</v>
      </c>
      <c r="K25" s="4">
        <f t="shared" si="0"/>
        <v>49198</v>
      </c>
      <c r="L25" s="4">
        <f t="shared" si="1"/>
        <v>98015</v>
      </c>
      <c r="M25" s="4">
        <f t="shared" si="2"/>
        <v>53908.250000000007</v>
      </c>
      <c r="N25" s="12">
        <f t="shared" si="3"/>
        <v>90</v>
      </c>
    </row>
    <row r="26" spans="1:14" x14ac:dyDescent="0.25">
      <c r="A26" s="7">
        <v>24</v>
      </c>
      <c r="B26" s="3">
        <v>45620</v>
      </c>
      <c r="C26" s="2" t="s">
        <v>21</v>
      </c>
      <c r="D26" s="2">
        <v>474300</v>
      </c>
      <c r="E26" s="2">
        <v>377770</v>
      </c>
      <c r="F26" s="2">
        <v>0</v>
      </c>
      <c r="G26" s="2">
        <v>7950</v>
      </c>
      <c r="H26" s="2">
        <v>3542.77</v>
      </c>
      <c r="I26" s="2">
        <v>47811</v>
      </c>
      <c r="J26" s="2">
        <v>37226</v>
      </c>
      <c r="K26" s="4">
        <f t="shared" si="0"/>
        <v>48719</v>
      </c>
      <c r="L26" s="4">
        <f t="shared" si="1"/>
        <v>96530</v>
      </c>
      <c r="M26" s="4">
        <f t="shared" si="2"/>
        <v>53091.500000000007</v>
      </c>
      <c r="N26" s="12">
        <f t="shared" si="3"/>
        <v>89.829545454545453</v>
      </c>
    </row>
    <row r="27" spans="1:14" x14ac:dyDescent="0.25">
      <c r="A27" s="7">
        <v>25</v>
      </c>
      <c r="B27" s="3">
        <v>45621</v>
      </c>
      <c r="C27" s="2" t="s">
        <v>21</v>
      </c>
      <c r="D27" s="2">
        <v>457900</v>
      </c>
      <c r="E27" s="2">
        <v>360235</v>
      </c>
      <c r="F27" s="2">
        <v>0</v>
      </c>
      <c r="G27" s="2">
        <v>7784</v>
      </c>
      <c r="H27" s="2">
        <v>4638</v>
      </c>
      <c r="I27" s="2">
        <v>48291</v>
      </c>
      <c r="J27" s="2">
        <v>36952</v>
      </c>
      <c r="K27" s="4">
        <f t="shared" si="0"/>
        <v>49374</v>
      </c>
      <c r="L27" s="4">
        <f t="shared" si="1"/>
        <v>97665</v>
      </c>
      <c r="M27" s="4">
        <f t="shared" si="2"/>
        <v>53715.750000000007</v>
      </c>
      <c r="N27" s="12">
        <f t="shared" si="3"/>
        <v>86.723484848484844</v>
      </c>
    </row>
    <row r="28" spans="1:14" x14ac:dyDescent="0.25">
      <c r="A28" s="7">
        <v>26</v>
      </c>
      <c r="B28" s="3">
        <v>45622</v>
      </c>
      <c r="C28" s="2" t="s">
        <v>21</v>
      </c>
      <c r="D28" s="2">
        <v>470600</v>
      </c>
      <c r="E28" s="2">
        <v>372295</v>
      </c>
      <c r="F28" s="2">
        <v>0</v>
      </c>
      <c r="G28" s="2">
        <v>7210</v>
      </c>
      <c r="H28" s="2">
        <v>5070</v>
      </c>
      <c r="I28" s="2">
        <v>49847</v>
      </c>
      <c r="J28" s="2">
        <v>36177</v>
      </c>
      <c r="K28" s="4">
        <f t="shared" si="0"/>
        <v>48458</v>
      </c>
      <c r="L28" s="4">
        <f t="shared" si="1"/>
        <v>98305</v>
      </c>
      <c r="M28" s="4">
        <f t="shared" si="2"/>
        <v>54067.750000000007</v>
      </c>
      <c r="N28" s="12">
        <f t="shared" si="3"/>
        <v>89.128787878787875</v>
      </c>
    </row>
    <row r="29" spans="1:14" x14ac:dyDescent="0.25">
      <c r="A29" s="7">
        <v>27</v>
      </c>
      <c r="B29" s="3">
        <v>45623</v>
      </c>
      <c r="C29" s="2" t="s">
        <v>21</v>
      </c>
      <c r="D29" s="2">
        <v>472400</v>
      </c>
      <c r="E29" s="2">
        <v>372955</v>
      </c>
      <c r="F29" s="2">
        <v>0</v>
      </c>
      <c r="G29" s="2">
        <v>7708</v>
      </c>
      <c r="H29" s="2">
        <v>5200</v>
      </c>
      <c r="I29" s="2">
        <v>50277</v>
      </c>
      <c r="J29" s="2">
        <v>36260</v>
      </c>
      <c r="K29" s="4">
        <f t="shared" si="0"/>
        <v>49168</v>
      </c>
      <c r="L29" s="4">
        <f t="shared" si="1"/>
        <v>99445</v>
      </c>
      <c r="M29" s="4">
        <f t="shared" si="2"/>
        <v>54694.750000000007</v>
      </c>
      <c r="N29" s="12">
        <f t="shared" si="3"/>
        <v>89.469696969696969</v>
      </c>
    </row>
    <row r="30" spans="1:14" x14ac:dyDescent="0.25">
      <c r="A30" s="7">
        <v>28</v>
      </c>
      <c r="B30" s="3">
        <v>45624</v>
      </c>
      <c r="C30" s="2" t="s">
        <v>21</v>
      </c>
      <c r="D30" s="2">
        <v>424300</v>
      </c>
      <c r="E30" s="2">
        <v>330385</v>
      </c>
      <c r="F30" s="2">
        <v>0</v>
      </c>
      <c r="G30" s="2">
        <v>6881</v>
      </c>
      <c r="H30" s="2">
        <v>4711</v>
      </c>
      <c r="I30" s="2">
        <v>46084</v>
      </c>
      <c r="J30" s="2">
        <v>36239</v>
      </c>
      <c r="K30" s="4">
        <f t="shared" si="0"/>
        <v>47831</v>
      </c>
      <c r="L30" s="4">
        <f t="shared" si="1"/>
        <v>93915</v>
      </c>
      <c r="M30" s="4">
        <f t="shared" si="2"/>
        <v>51653.250000000007</v>
      </c>
      <c r="N30" s="12">
        <f t="shared" si="3"/>
        <v>80.359848484848484</v>
      </c>
    </row>
    <row r="31" spans="1:14" x14ac:dyDescent="0.25">
      <c r="A31" s="7">
        <v>29</v>
      </c>
      <c r="B31" s="3">
        <v>45625</v>
      </c>
      <c r="C31" s="2" t="s">
        <v>21</v>
      </c>
      <c r="D31" s="2">
        <v>447100</v>
      </c>
      <c r="E31" s="2">
        <v>350235</v>
      </c>
      <c r="F31" s="2">
        <v>0</v>
      </c>
      <c r="G31" s="2">
        <v>7610</v>
      </c>
      <c r="H31" s="2">
        <v>4720</v>
      </c>
      <c r="I31" s="2">
        <v>48037</v>
      </c>
      <c r="J31" s="2">
        <v>36498</v>
      </c>
      <c r="K31" s="4">
        <f t="shared" si="0"/>
        <v>48828</v>
      </c>
      <c r="L31" s="4">
        <f t="shared" si="1"/>
        <v>96865</v>
      </c>
      <c r="M31" s="4">
        <f t="shared" si="2"/>
        <v>53275.750000000007</v>
      </c>
      <c r="N31" s="12">
        <f t="shared" si="3"/>
        <v>84.678030303030312</v>
      </c>
    </row>
    <row r="32" spans="1:14" x14ac:dyDescent="0.25">
      <c r="A32" s="7">
        <v>30</v>
      </c>
      <c r="B32" s="3">
        <v>45626</v>
      </c>
      <c r="C32" s="2" t="s">
        <v>21</v>
      </c>
      <c r="D32" s="2">
        <v>378500</v>
      </c>
      <c r="E32" s="2">
        <v>288420</v>
      </c>
      <c r="F32" s="2">
        <v>0</v>
      </c>
      <c r="G32" s="2">
        <v>6342</v>
      </c>
      <c r="H32" s="2">
        <v>4447</v>
      </c>
      <c r="I32" s="2">
        <v>42339</v>
      </c>
      <c r="J32" s="2">
        <v>36952</v>
      </c>
      <c r="K32" s="4">
        <f t="shared" si="0"/>
        <v>47741</v>
      </c>
      <c r="L32" s="4">
        <f t="shared" si="1"/>
        <v>90080</v>
      </c>
      <c r="M32" s="4">
        <f t="shared" si="2"/>
        <v>49544.000000000007</v>
      </c>
      <c r="N32" s="12">
        <f>(D32/528000)*100</f>
        <v>71.685606060606062</v>
      </c>
    </row>
    <row r="33" spans="1:14" x14ac:dyDescent="0.25">
      <c r="A33" s="2"/>
      <c r="B33" s="2"/>
      <c r="C33" s="8" t="s">
        <v>15</v>
      </c>
      <c r="D33" s="8">
        <f t="shared" ref="D33:M33" si="4">SUM(D3:D32)</f>
        <v>13062300</v>
      </c>
      <c r="E33" s="8">
        <f t="shared" si="4"/>
        <v>5051492</v>
      </c>
      <c r="F33" s="8">
        <f t="shared" si="4"/>
        <v>552005</v>
      </c>
      <c r="G33" s="8">
        <f t="shared" si="4"/>
        <v>5271725</v>
      </c>
      <c r="H33" s="8">
        <f t="shared" si="4"/>
        <v>813436.47000000009</v>
      </c>
      <c r="I33" s="8">
        <f t="shared" si="4"/>
        <v>1452568</v>
      </c>
      <c r="J33" s="8">
        <f t="shared" si="4"/>
        <v>1025082.5</v>
      </c>
      <c r="K33" s="8">
        <f t="shared" si="4"/>
        <v>6558240</v>
      </c>
      <c r="L33" s="8">
        <f t="shared" si="4"/>
        <v>8010808</v>
      </c>
      <c r="M33" s="8">
        <f t="shared" si="4"/>
        <v>4405944.4000000004</v>
      </c>
      <c r="N33" s="13">
        <f>SUM(N3:N32)/30</f>
        <v>82.464015151515156</v>
      </c>
    </row>
    <row r="34" spans="1:14" x14ac:dyDescent="0.25">
      <c r="A34" s="2"/>
      <c r="B34" s="2"/>
      <c r="C34" s="8" t="s">
        <v>16</v>
      </c>
      <c r="D34" s="2">
        <v>13062300</v>
      </c>
      <c r="E34" s="2">
        <v>5067305</v>
      </c>
      <c r="F34" s="2">
        <v>566400</v>
      </c>
      <c r="G34" s="2"/>
      <c r="H34" s="2"/>
      <c r="I34" s="2"/>
      <c r="J34" s="2"/>
      <c r="K34" s="2"/>
      <c r="L34" s="2"/>
      <c r="M34" s="2"/>
      <c r="N34" s="2"/>
    </row>
    <row r="35" spans="1:14" x14ac:dyDescent="0.25">
      <c r="A35" s="2"/>
      <c r="B35" s="2"/>
      <c r="C35" s="8" t="s">
        <v>17</v>
      </c>
      <c r="D35" s="2">
        <f>D34-D33</f>
        <v>0</v>
      </c>
      <c r="E35" s="2">
        <f>E34-E33</f>
        <v>15813</v>
      </c>
      <c r="F35" s="2"/>
      <c r="G35" s="2"/>
      <c r="H35" s="2">
        <v>-1416.97</v>
      </c>
      <c r="I35" s="2"/>
      <c r="J35" s="2"/>
      <c r="K35" s="2"/>
      <c r="L35" s="2"/>
      <c r="M35" s="2"/>
      <c r="N35" s="2"/>
    </row>
    <row r="36" spans="1:14" x14ac:dyDescent="0.25">
      <c r="A36" s="2"/>
      <c r="B36" s="2"/>
      <c r="C36" s="8" t="s">
        <v>18</v>
      </c>
      <c r="D36" s="2"/>
      <c r="E36" s="2"/>
      <c r="F36" s="2"/>
      <c r="G36" s="2">
        <v>5271016.5</v>
      </c>
      <c r="H36" s="2">
        <v>813153.1</v>
      </c>
      <c r="I36" s="2"/>
      <c r="J36" s="2">
        <v>1024657.4</v>
      </c>
      <c r="K36" s="2"/>
      <c r="L36" s="2"/>
      <c r="M36" s="2"/>
      <c r="N36" s="2"/>
    </row>
    <row r="37" spans="1:14" x14ac:dyDescent="0.25">
      <c r="A37" s="2"/>
      <c r="B37" s="2"/>
      <c r="C37" s="8" t="s">
        <v>19</v>
      </c>
      <c r="D37" s="2">
        <v>553870.9</v>
      </c>
      <c r="E37" s="2"/>
      <c r="F37" s="2"/>
      <c r="G37" s="2">
        <v>13628700</v>
      </c>
      <c r="H37" s="2"/>
      <c r="I37" s="2"/>
      <c r="J37" s="2"/>
      <c r="K37" s="2"/>
      <c r="L37" s="2"/>
      <c r="M37" s="2"/>
      <c r="N37" s="2"/>
    </row>
    <row r="38" spans="1:14" x14ac:dyDescent="0.25">
      <c r="A38" s="2"/>
      <c r="B38" s="2"/>
      <c r="C38" s="8" t="s">
        <v>20</v>
      </c>
      <c r="D38" s="2">
        <v>566933.19999999995</v>
      </c>
      <c r="E38" s="2"/>
      <c r="F38" s="2"/>
      <c r="G38" s="2">
        <v>13628700</v>
      </c>
      <c r="H38" s="2"/>
      <c r="I38" s="2"/>
      <c r="J38" s="2"/>
      <c r="K38" s="2"/>
      <c r="L38" s="2"/>
      <c r="M38" s="2"/>
      <c r="N38" s="2"/>
    </row>
    <row r="39" spans="1:14" x14ac:dyDescent="0.25">
      <c r="A39" s="1"/>
      <c r="B39" s="1"/>
      <c r="C39" s="1"/>
      <c r="D39" s="1">
        <f>D38-D37</f>
        <v>13062.29999999993</v>
      </c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25">
      <c r="A40" s="1"/>
      <c r="B40" s="1"/>
      <c r="C40" s="1"/>
      <c r="D40" s="1"/>
      <c r="E40" s="1"/>
      <c r="F40" s="1"/>
      <c r="G40" s="1">
        <f>G33+H33+I33+J33</f>
        <v>8562811.9699999988</v>
      </c>
      <c r="H40" s="1">
        <f>H36+H35</f>
        <v>811736.13</v>
      </c>
      <c r="I40" s="1"/>
      <c r="J40" s="1"/>
      <c r="K40" s="1"/>
      <c r="L40" s="1"/>
      <c r="M40" s="1"/>
      <c r="N40" s="1"/>
    </row>
    <row r="41" spans="1:14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</sheetData>
  <mergeCells count="1">
    <mergeCell ref="A1:N1"/>
  </mergeCells>
  <pageMargins left="0.7" right="0.7" top="0.75" bottom="0.75" header="0.3" footer="0.3"/>
  <pageSetup paperSize="9"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13"/>
  <sheetViews>
    <sheetView zoomScaleNormal="100" workbookViewId="0">
      <selection activeCell="E16" sqref="E16"/>
    </sheetView>
  </sheetViews>
  <sheetFormatPr defaultRowHeight="15" x14ac:dyDescent="0.25"/>
  <cols>
    <col min="3" max="3" width="12" bestFit="1" customWidth="1"/>
    <col min="4" max="4" width="28" bestFit="1" customWidth="1"/>
    <col min="5" max="5" width="23.5703125" bestFit="1" customWidth="1"/>
    <col min="6" max="6" width="32" bestFit="1" customWidth="1"/>
  </cols>
  <sheetData>
    <row r="1" spans="1:6" x14ac:dyDescent="0.25">
      <c r="A1" s="25" t="s">
        <v>49</v>
      </c>
      <c r="B1" s="25" t="s">
        <v>48</v>
      </c>
      <c r="C1" s="25" t="s">
        <v>27</v>
      </c>
      <c r="D1" s="25" t="s">
        <v>25</v>
      </c>
      <c r="E1" s="25" t="s">
        <v>26</v>
      </c>
      <c r="F1" s="25" t="s">
        <v>50</v>
      </c>
    </row>
    <row r="2" spans="1:6" x14ac:dyDescent="0.25">
      <c r="A2" s="26">
        <v>1</v>
      </c>
      <c r="B2" s="26"/>
      <c r="C2" s="26" t="s">
        <v>41</v>
      </c>
      <c r="D2" s="26" t="s">
        <v>30</v>
      </c>
      <c r="E2" s="26" t="s">
        <v>28</v>
      </c>
      <c r="F2" s="26" t="s">
        <v>43</v>
      </c>
    </row>
    <row r="3" spans="1:6" x14ac:dyDescent="0.25">
      <c r="A3" s="26">
        <v>2</v>
      </c>
      <c r="B3" s="26"/>
      <c r="C3" s="26" t="s">
        <v>29</v>
      </c>
      <c r="D3" s="26" t="s">
        <v>42</v>
      </c>
      <c r="E3" s="26" t="s">
        <v>28</v>
      </c>
      <c r="F3" s="26" t="s">
        <v>44</v>
      </c>
    </row>
    <row r="4" spans="1:6" x14ac:dyDescent="0.25">
      <c r="A4" s="26">
        <v>3</v>
      </c>
      <c r="B4" s="26"/>
      <c r="C4" s="26" t="s">
        <v>29</v>
      </c>
      <c r="D4" s="26" t="s">
        <v>42</v>
      </c>
      <c r="E4" s="26" t="s">
        <v>28</v>
      </c>
      <c r="F4" s="26" t="s">
        <v>45</v>
      </c>
    </row>
    <row r="5" spans="1:6" x14ac:dyDescent="0.25">
      <c r="A5" s="26">
        <v>4</v>
      </c>
      <c r="B5" s="26"/>
      <c r="C5" s="26" t="s">
        <v>31</v>
      </c>
      <c r="D5" s="26" t="s">
        <v>32</v>
      </c>
      <c r="E5" s="26" t="s">
        <v>28</v>
      </c>
      <c r="F5" s="26" t="s">
        <v>33</v>
      </c>
    </row>
    <row r="6" spans="1:6" x14ac:dyDescent="0.25">
      <c r="A6" s="26">
        <v>5</v>
      </c>
      <c r="B6" s="26"/>
      <c r="C6" s="26" t="s">
        <v>34</v>
      </c>
      <c r="D6" s="26" t="s">
        <v>28</v>
      </c>
      <c r="E6" s="26" t="s">
        <v>37</v>
      </c>
      <c r="F6" s="26" t="s">
        <v>35</v>
      </c>
    </row>
    <row r="7" spans="1:6" x14ac:dyDescent="0.25">
      <c r="A7" s="26">
        <v>6</v>
      </c>
      <c r="B7" s="26"/>
      <c r="C7" s="26" t="s">
        <v>36</v>
      </c>
      <c r="D7" s="26" t="s">
        <v>37</v>
      </c>
      <c r="E7" s="26" t="s">
        <v>28</v>
      </c>
      <c r="F7" s="26" t="s">
        <v>38</v>
      </c>
    </row>
    <row r="8" spans="1:6" x14ac:dyDescent="0.25">
      <c r="A8" s="26">
        <v>7</v>
      </c>
      <c r="B8" s="26"/>
      <c r="C8" s="26" t="s">
        <v>31</v>
      </c>
      <c r="D8" s="26" t="s">
        <v>37</v>
      </c>
      <c r="E8" s="26" t="s">
        <v>28</v>
      </c>
      <c r="F8" s="26" t="s">
        <v>46</v>
      </c>
    </row>
    <row r="9" spans="1:6" x14ac:dyDescent="0.25">
      <c r="A9" s="26">
        <v>8</v>
      </c>
      <c r="B9" s="26"/>
      <c r="C9" s="26" t="s">
        <v>31</v>
      </c>
      <c r="D9" s="26" t="s">
        <v>37</v>
      </c>
      <c r="E9" s="26" t="s">
        <v>28</v>
      </c>
      <c r="F9" s="26" t="s">
        <v>47</v>
      </c>
    </row>
    <row r="10" spans="1:6" x14ac:dyDescent="0.25">
      <c r="A10" s="26">
        <v>9</v>
      </c>
      <c r="B10" s="26"/>
      <c r="C10" s="26" t="s">
        <v>36</v>
      </c>
      <c r="D10" s="26" t="s">
        <v>39</v>
      </c>
      <c r="E10" s="26" t="s">
        <v>28</v>
      </c>
      <c r="F10" s="26" t="s">
        <v>40</v>
      </c>
    </row>
    <row r="11" spans="1:6" x14ac:dyDescent="0.25">
      <c r="A11" s="26">
        <v>10</v>
      </c>
      <c r="B11" s="26"/>
      <c r="C11" s="26"/>
      <c r="D11" s="26"/>
      <c r="E11" s="26"/>
      <c r="F11" s="26"/>
    </row>
    <row r="12" spans="1:6" x14ac:dyDescent="0.25">
      <c r="A12" s="26">
        <v>11</v>
      </c>
      <c r="B12" s="26"/>
      <c r="C12" s="26"/>
      <c r="D12" s="26"/>
      <c r="E12" s="26"/>
      <c r="F12" s="26"/>
    </row>
    <row r="13" spans="1:6" x14ac:dyDescent="0.25">
      <c r="A13" s="26">
        <v>12</v>
      </c>
      <c r="B13" s="26"/>
      <c r="C13" s="26"/>
      <c r="D13" s="26"/>
      <c r="E13" s="26"/>
      <c r="F13" s="26"/>
    </row>
  </sheetData>
  <pageMargins left="0.7" right="0.7" top="0.75" bottom="0.75" header="0.3" footer="0.3"/>
  <pageSetup paperSize="9" scale="76" orientation="portrait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APRIL-2026</vt:lpstr>
      <vt:lpstr>MARCH-2026</vt:lpstr>
      <vt:lpstr>FEBRUYARY-2026 </vt:lpstr>
      <vt:lpstr>JANUARY-2026</vt:lpstr>
      <vt:lpstr>DECEMBER-2025 </vt:lpstr>
      <vt:lpstr>NOVEMBER-2025</vt:lpstr>
      <vt:lpstr>OCTOBER-2025</vt:lpstr>
      <vt:lpstr>SEPTEMBER-2025</vt:lpstr>
      <vt:lpstr>AUGUST-2025</vt:lpstr>
      <vt:lpstr>JULY-2025</vt:lpstr>
      <vt:lpstr>JUNE-2025</vt:lpstr>
      <vt:lpstr>MAY-2025</vt:lpstr>
      <vt:lpstr>APR-2025</vt:lpstr>
      <vt:lpstr>MAR-2025</vt:lpstr>
      <vt:lpstr>FEB-2025</vt:lpstr>
      <vt:lpstr>JAN-2025</vt:lpstr>
      <vt:lpstr>DEC-2024</vt:lpstr>
      <vt:lpstr>NOV-2024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KKL-PP2</dc:creator>
  <cp:lastModifiedBy>BIBEK SUNDARAY</cp:lastModifiedBy>
  <cp:lastPrinted>2025-03-13T05:02:25Z</cp:lastPrinted>
  <dcterms:created xsi:type="dcterms:W3CDTF">2024-11-25T09:44:15Z</dcterms:created>
  <dcterms:modified xsi:type="dcterms:W3CDTF">2026-06-09T11:11:16Z</dcterms:modified>
</cp:coreProperties>
</file>